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yWindow="600" windowWidth="28800" windowHeight="16520" tabRatio="821" activeTab="3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  <sheet name="Performance" sheetId="10" r:id="rId6"/>
  </sheet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0" authorId="0">
      <text>
        <r>
          <rPr>
            <b/>
            <sz val="8"/>
            <rFont val="Tahoma"/>
            <charset val="134"/>
          </rPr>
          <t>*A</t>
        </r>
        <r>
          <rPr>
            <sz val="8"/>
            <rFont val="Tahoma"/>
            <charset val="134"/>
          </rPr>
          <t xml:space="preserve">: Add
  </t>
        </r>
        <r>
          <rPr>
            <b/>
            <sz val="8"/>
            <rFont val="Tahoma"/>
            <charset val="134"/>
          </rPr>
          <t>M</t>
        </r>
        <r>
          <rPr>
            <sz val="8"/>
            <rFont val="Tahoma"/>
            <charset val="134"/>
          </rPr>
          <t xml:space="preserve">: Modify
  </t>
        </r>
        <r>
          <rPr>
            <b/>
            <sz val="8"/>
            <rFont val="Tahoma"/>
            <charset val="134"/>
          </rPr>
          <t>D</t>
        </r>
        <r>
          <rPr>
            <sz val="8"/>
            <rFont val="Tahoma"/>
            <charset val="134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<sst xmlns="http://schemas.openxmlformats.org/spreadsheetml/2006/main" count="347" uniqueCount="181">
  <si>
    <t>TEST REPORT DOCUMENT</t>
  </si>
  <si>
    <t>Project Name</t>
  </si>
  <si>
    <t>Meeting Room Management System</t>
  </si>
  <si>
    <t>Creator</t>
  </si>
  <si>
    <t>Le Trung Kien</t>
  </si>
  <si>
    <t>Project Code</t>
  </si>
  <si>
    <t>MRM</t>
  </si>
  <si>
    <t>Issue Date</t>
  </si>
  <si>
    <t>Document Code</t>
  </si>
  <si>
    <t>MRM_ST_v0.1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</si>
  <si>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</si>
  <si>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</si>
  <si>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</si>
  <si>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</si>
  <si>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</si>
  <si>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</si>
  <si>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</si>
  <si>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</si>
  <si>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Initial version</t>
  </si>
  <si>
    <t>A</t>
  </si>
  <si>
    <t>Create System Test document for Meeting Room Management System</t>
  </si>
  <si>
    <t>Meeting_Room_Management_SRS_v0.3.pdf</t>
  </si>
  <si>
    <t>TEST CASE LIST</t>
  </si>
  <si>
    <t>Test Environment Setup Description</t>
  </si>
  <si>
    <t>1. Web Portal: https://portal.nextform.vn/session/signin
2. Mobile App: Cypresscom meeting (Android / iOS)
3. Web Browser: Google Chrome or Microsoft Edge (latest version)
4. Meeting Room Manager account: thuky / @Nextformvn2024@
5. Participant accounts: daibieu1@tempmail.id.vn, daibieu2@tempmail.id.vn, daibieu3@tempmail.id.vn / @Nextformvn2024@
6. Android Tablet (Display App) at meeting room entrance (if available)
7. Stable Internet connection</t>
  </si>
  <si>
    <t>No</t>
  </si>
  <si>
    <t>Function Name</t>
  </si>
  <si>
    <t>Sheet Name</t>
  </si>
  <si>
    <t>Description</t>
  </si>
  <si>
    <t>Pre-Condition</t>
  </si>
  <si>
    <t>Meeting Registration</t>
  </si>
  <si>
    <t>Feature 1</t>
  </si>
  <si>
    <t>Verify meeting booking functionality for User on Web/App</t>
  </si>
  <si>
    <t>User is logged into the system</t>
  </si>
  <si>
    <t>Meeting Approval</t>
  </si>
  <si>
    <t>Verify approve/reject booking request workflow for Meeting Room Manager</t>
  </si>
  <si>
    <t>There is a booking request in pending status</t>
  </si>
  <si>
    <t>Copy Meeting</t>
  </si>
  <si>
    <t>Verify copying information from an old meeting to create a new booking</t>
  </si>
  <si>
    <t>User has at least one previous meeting</t>
  </si>
  <si>
    <t>Digital Signage Display</t>
  </si>
  <si>
    <t>Feature 2</t>
  </si>
  <si>
    <t>Verify Display App shows meeting room status at the room entrance</t>
  </si>
  <si>
    <t>Display App tablet is connected and assigned to the meeting room</t>
  </si>
  <si>
    <t>End Warning &amp; Extension</t>
  </si>
  <si>
    <t>Verify 15-minute end warning notification and meeting extension workflow</t>
  </si>
  <si>
    <t>Meeting is approved and currently in progress</t>
  </si>
  <si>
    <t>Auto Reminder</t>
  </si>
  <si>
    <t>Verify system sends reminders every 5 minutes when meeting exceeds scheduled time</t>
  </si>
  <si>
    <t>Meeting has ended but not confirmed as ended/extended</t>
  </si>
  <si>
    <t>Performance Statistics</t>
  </si>
  <si>
    <t>Performance</t>
  </si>
  <si>
    <t>Verify meeting hours statistics report by room/unit</t>
  </si>
  <si>
    <t>Meeting Room Manager is logged into Web</t>
  </si>
  <si>
    <t>Violation Report</t>
  </si>
  <si>
    <t>Verify report of late/overtime meetings</t>
  </si>
  <si>
    <t>System has historical meeting data</t>
  </si>
  <si>
    <t>Export Meeting List</t>
  </si>
  <si>
    <t>Verify export daily meeting schedule to PDF/Excel</t>
  </si>
  <si>
    <t>TEST STATISTICS</t>
  </si>
  <si>
    <t>Reviewer/Approver</t>
  </si>
  <si>
    <t>MRM_Test Report_v0.1</t>
  </si>
  <si>
    <t>Notes</t>
  </si>
  <si>
    <t>Release 1 includes 3 modules: Registration &amp; Approval, Operation &amp; Display, Reports &amp; Statistics</t>
  </si>
  <si>
    <t>Module code</t>
  </si>
  <si>
    <t>Passed</t>
  </si>
  <si>
    <t>Failed</t>
  </si>
  <si>
    <t>Pending</t>
  </si>
  <si>
    <t>N/A</t>
  </si>
  <si>
    <t>Number of  test cases</t>
  </si>
  <si>
    <t>Registration &amp; Approval Management</t>
  </si>
  <si>
    <t>Operation &amp; Display</t>
  </si>
  <si>
    <t>Reports &amp; Statistics</t>
  </si>
  <si>
    <t>Sub total</t>
  </si>
  <si>
    <t>Test coverage</t>
  </si>
  <si>
    <t>%</t>
  </si>
  <si>
    <t>Test successful coverage</t>
  </si>
  <si>
    <t>Feature</t>
  </si>
  <si>
    <t>Test requirement</t>
  </si>
  <si>
    <t>Verify meeting registration, approve/reject request, and copy meeting functions per SRS sections 3.1 and 4.2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</si>
  <si>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</si>
  <si>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</si>
  <si>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</si>
  <si>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</si>
  <si>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</si>
  <si>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</si>
  <si>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</si>
  <si>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</si>
  <si>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</si>
  <si>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</si>
  <si>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</si>
  <si>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</si>
  <si>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</si>
  <si>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TC001</t>
  </si>
  <si>
    <t>Verify meeting room list and available slots are displayed in real time</t>
  </si>
  <si>
    <t>1. Log in to Web https://portal.nextform.vn with daibieu1@tempmail.id.vn
2. Navigate to meeting booking
3. Select date/time for booking
4. Observe room list and slot availability</t>
  </si>
  <si>
    <t>System displays room list with capacity, equipment, and real-time available/busy status</t>
  </si>
  <si>
    <t>User is successfully logged into Web Portal</t>
  </si>
  <si>
    <t>TC002</t>
  </si>
  <si>
    <t>Verify successful meeting registration with all required fields</t>
  </si>
  <si>
    <t>1. Log in with daibieu1@tempmail.id.vn
2. Select a room with available slot
3. Enter Meeting Name, Time, Chairperson, Secretary, Content, Number of Participants
4. Click Submit Request</t>
  </si>
  <si>
    <t>Request is created successfully with Pending Approval status; Manager receives notification</t>
  </si>
  <si>
    <t>Selected room has available slot at chosen time</t>
  </si>
  <si>
    <t>TC003</t>
  </si>
  <si>
    <t>Verify validation when required fields are missing</t>
  </si>
  <si>
    <t>1. Log in with daibieu1@tempmail.id.vn
2. Open registration form, leave required fields empty
3. Click Submit Request</t>
  </si>
  <si>
    <t>System shows error message and prevents submission when required fields are missing</t>
  </si>
  <si>
    <t>User is logged in</t>
  </si>
  <si>
    <t>TC004</t>
  </si>
  <si>
    <t>Verify Manager approves a booking request</t>
  </si>
  <si>
    <t>1. Log in with thuky
2. Open pending request list
3. Select a valid request
4. Click Approve</t>
  </si>
  <si>
    <t>Request status changes to Approved; Email/App notifications are sent to participants</t>
  </si>
  <si>
    <t>TC005</t>
  </si>
  <si>
    <t>Verify Manager rejects a booking request</t>
  </si>
  <si>
    <t>1. Log in with thuky
2. Select a pending request
3. Click Reject and enter reason</t>
  </si>
  <si>
    <t>Request status changes to Rejected; User receives notification</t>
  </si>
  <si>
    <t>TC006</t>
  </si>
  <si>
    <t>Verify Manager cancels an approved meeting (emergency coordination)</t>
  </si>
  <si>
    <t>1. Log in with thuky
2. Open an approved meeting
3. Click Cancel/Reschedule and enter reason</t>
  </si>
  <si>
    <t>Meeting is cancelled/rescheduled; notifications are sent to all related parties</t>
  </si>
  <si>
    <t>There is an approved meeting</t>
  </si>
  <si>
    <t>TC007</t>
  </si>
  <si>
    <t>Verify copying information from an old meeting</t>
  </si>
  <si>
    <t>1. Log in with daibieu1@tempmail.id.vn
2. Select an old meeting, click Copy
3. Update date/time and Submit Request</t>
  </si>
  <si>
    <t>Form is pre-filled with old meeting data; new request is submitted successfully</t>
  </si>
  <si>
    <t>TC008</t>
  </si>
  <si>
    <t>Verify document attachment when registering a meeting</t>
  </si>
  <si>
    <t>1. Log in with daibieu1@tempmail.id.vn
2. Fill all required fields and upload a file
3. Submit Request</t>
  </si>
  <si>
    <t>Document is uploaded successfully; booking request is created with attachment</t>
  </si>
  <si>
    <t>User is logged in and has a valid file to upload</t>
  </si>
  <si>
    <t>Operation &amp; Display (Real-time)</t>
  </si>
  <si>
    <t>Verify Display App, end warning, meeting extension, and auto reminder per SRS sections 3.2, 3.3 and 4.3</t>
  </si>
  <si>
    <t>TC009</t>
  </si>
  <si>
    <t>Verify Display App turns Red (Busy) when meeting starts</t>
  </si>
  <si>
    <t>1. Create and approve a meeting for Room A
2. Wait until meeting start time
3. Observe tablet screen at Room A entrance</t>
  </si>
  <si>
    <t>Screen turns Red and shows meeting name, chairperson, and current time</t>
  </si>
  <si>
    <t>Display App is connected via WiFi and assigned to Room A</t>
  </si>
  <si>
    <t>TC010</t>
  </si>
  <si>
    <t>Verify Display App turns Green (Available) when room is empty</t>
  </si>
  <si>
    <t>1. Ensure Room B has no ongoing meeting
2. Observe tablet screen at Room B entrance</t>
  </si>
  <si>
    <t>Screen shows Green color with Available status</t>
  </si>
  <si>
    <t>Display App is connected and assigned to Room B</t>
  </si>
  <si>
    <t>TC011</t>
  </si>
  <si>
    <t>Verify next meeting schedule is displayed on Display App</t>
  </si>
  <si>
    <t>1. Book 2 consecutive meetings for the same room
2. During the first meeting, observe Display App</t>
  </si>
  <si>
    <t>Display shows current meeting info and next meeting schedule for the room</t>
  </si>
  <si>
    <t>Room has at least 2 approved consecutive meetings</t>
  </si>
  <si>
    <t>TC012</t>
  </si>
  <si>
    <t>Verify 15-minute end warning notification before meeting ends</t>
  </si>
  <si>
    <t>1. Use an approved meeting currently in progress
2. Wait until 15 minutes before end time
3. Check App/Email notification for creator</t>
  </si>
  <si>
    <t>System sends Do you want to extend? notification to Creator and Meeting Room Manager</t>
  </si>
  <si>
    <t>Meeting is in progress with 15 minutes remaining</t>
  </si>
  <si>
    <t>TC013</t>
  </si>
  <si>
    <t>Verify approved meeting extension workflow</t>
  </si>
  <si>
    <t>1. Receive 15-minute warning
2. User clicks Extend on App
3. Manager (thuky) logs in and approves extension
4. Verify next room slot</t>
  </si>
  <si>
    <t>Extension is approved if next slot is free; meeting time is updated; notifications are sent</t>
  </si>
  <si>
    <t>Meeting is in progress and next slot is available</t>
  </si>
  <si>
    <t>TC014</t>
  </si>
  <si>
    <t>Verify auto reminder every 5 minutes when meeting exceeds scheduled time</t>
  </si>
  <si>
    <t>1. Let meeting end without End or Extend action
2. Observe App/Email notifications
3. Record interval between reminders</t>
  </si>
  <si>
    <t>System sends reminder every 5 minutes until meeting is ended or extended</t>
  </si>
  <si>
    <t>Meeting has ended but User has not confirmed end/extend</t>
  </si>
  <si>
    <t>TC018</t>
  </si>
  <si>
    <t>Verify multi-channel notifications (Email and Push) when meeting is approved</t>
  </si>
  <si>
    <t>1. User (daibieu1) creates a booking request
2. Manager (thuky) approves the request
3. Check Email and App notifications for participants</t>
  </si>
  <si>
    <t>Participants receive notifications via Email and Push notification on Cypresscom meeting App</t>
  </si>
  <si>
    <t>Meeting was just approved; participants have App installed and valid email</t>
  </si>
  <si>
    <t>Verify performance statistics, violation reports, and meeting list export per SRS sections 3.4 and 4.5</t>
  </si>
  <si>
    <t>TC015</t>
  </si>
  <si>
    <t>Verify meeting hours statistics by room/unit</t>
  </si>
  <si>
    <t>1. Log in with thuky
2. Navigate to Reports &amp; Statistics
3. Select time range (month/quarter)
4. Filter by room or unit
5. View chart/results</t>
  </si>
  <si>
    <t>System displays room usage chart, meeting hours, and session count based on selected filters</t>
  </si>
  <si>
    <t>Manager is logged in and system has meeting data</t>
  </si>
  <si>
    <t>TC016</t>
  </si>
  <si>
    <t>1. Log in with thuky
2. Navigate to Violation Report
3. Select time range
4. View violation list</t>
  </si>
  <si>
    <t>System displays list of late meetings, room usage rate, and units/individuals with overtime meetings</t>
  </si>
  <si>
    <t>System has historical meeting data including overtime cases</t>
  </si>
  <si>
    <t>TC017</t>
  </si>
  <si>
    <t>1. Log in with thuky
2. Navigate to Daily Meeting List
3. Select date
4. Click Export PDF or Export Excel</t>
  </si>
  <si>
    <t>PDF/Excel file is downloaded with full daily meeting schedule (name, room, time, chairperson)</t>
  </si>
  <si>
    <t>Manager is logged in and there are meetings on selected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</si>
</sst>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d\-mmm\-yy;@"/>
  </numFmts>
  <fonts count="41">
    <font>
      <sz val="11"/>
      <name val="ＭＳ Ｐゴシック"/>
      <charset val="128"/>
    </font>
    <font>
      <sz val="10"/>
      <color indexed="8"/>
      <name val="Tahoma"/>
      <charset val="134"/>
    </font>
    <font>
      <sz val="10"/>
      <name val="Tahoma"/>
      <charset val="134"/>
    </font>
    <font>
      <sz val="10"/>
      <color indexed="10"/>
      <name val="Tahoma"/>
      <charset val="134"/>
    </font>
    <font>
      <b/>
      <sz val="10"/>
      <name val="Tahoma"/>
      <charset val="134"/>
    </font>
    <font>
      <i/>
      <sz val="10"/>
      <color indexed="17"/>
      <name val="Tahoma"/>
      <charset val="134"/>
    </font>
    <font>
      <b/>
      <i/>
      <sz val="10"/>
      <name val="Tahoma"/>
      <charset val="134"/>
    </font>
    <font>
      <b/>
      <sz val="10"/>
      <color indexed="8"/>
      <name val="Tahoma"/>
      <charset val="134"/>
    </font>
    <font>
      <b/>
      <sz val="10"/>
      <color indexed="9"/>
      <name val="Tahoma"/>
      <charset val="134"/>
    </font>
    <font>
      <b/>
      <sz val="10"/>
      <color indexed="10"/>
      <name val="Tahoma"/>
      <charset val="134"/>
    </font>
    <font>
      <b/>
      <sz val="20"/>
      <color indexed="8"/>
      <name val="Tahoma"/>
      <charset val="134"/>
    </font>
    <font>
      <b/>
      <sz val="10"/>
      <color indexed="60"/>
      <name val="Tahoma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u/>
      <sz val="11"/>
      <color indexed="12"/>
      <name val="ＭＳ Ｐゴシック"/>
      <charset val="128"/>
    </font>
    <font>
      <u/>
      <sz val="10"/>
      <color indexed="12"/>
      <name val="Tahoma"/>
      <charset val="134"/>
    </font>
    <font>
      <b/>
      <sz val="26"/>
      <color indexed="10"/>
      <name val="Tahoma"/>
      <charset val="134"/>
    </font>
    <font>
      <i/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ＭＳ ゴシック"/>
      <charset val="128"/>
    </font>
    <font>
      <b/>
      <sz val="8"/>
      <name val="Tahoma"/>
      <charset val="134"/>
    </font>
    <font>
      <sz val="8"/>
      <color rgb="FF000000"/>
      <name val="Tahoma"/>
      <charset val="134"/>
    </font>
    <font>
      <sz val="8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8" fillId="7" borderId="3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8" applyNumberFormat="0" applyAlignment="0" applyProtection="0">
      <alignment vertical="center"/>
    </xf>
    <xf numFmtId="0" fontId="27" fillId="9" borderId="39" applyNumberFormat="0" applyAlignment="0" applyProtection="0">
      <alignment vertical="center"/>
    </xf>
    <xf numFmtId="0" fontId="28" fillId="9" borderId="38" applyNumberFormat="0" applyAlignment="0" applyProtection="0">
      <alignment vertical="center"/>
    </xf>
    <xf numFmtId="0" fontId="29" fillId="10" borderId="40" applyNumberFormat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0" borderId="0"/>
  </cellStyleXfs>
  <cellXfs count="14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4" fillId="2" borderId="1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left" vertical="top" wrapText="1"/>
    </xf>
    <xf numFmtId="0" fontId="2" fillId="2" borderId="3" xfId="50" applyFont="1" applyFill="1" applyBorder="1" applyAlignment="1">
      <alignment horizontal="left" vertical="top" wrapText="1"/>
    </xf>
    <xf numFmtId="0" fontId="5" fillId="2" borderId="0" xfId="50" applyFont="1" applyFill="1" applyAlignment="1">
      <alignment wrapText="1"/>
    </xf>
    <xf numFmtId="0" fontId="5" fillId="2" borderId="0" xfId="5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4" xfId="50" applyFont="1" applyFill="1" applyBorder="1" applyAlignment="1">
      <alignment horizontal="center" vertical="top" wrapText="1"/>
    </xf>
    <xf numFmtId="0" fontId="2" fillId="2" borderId="5" xfId="50" applyFont="1" applyFill="1" applyBorder="1" applyAlignment="1">
      <alignment horizontal="left" vertical="top" wrapText="1"/>
    </xf>
    <xf numFmtId="0" fontId="2" fillId="2" borderId="6" xfId="50" applyFont="1" applyFill="1" applyBorder="1" applyAlignment="1">
      <alignment horizontal="left" vertical="top" wrapText="1"/>
    </xf>
    <xf numFmtId="0" fontId="6" fillId="2" borderId="4" xfId="50" applyFont="1" applyFill="1" applyBorder="1" applyAlignment="1">
      <alignment horizontal="center" vertical="top" wrapText="1"/>
    </xf>
    <xf numFmtId="0" fontId="6" fillId="2" borderId="5" xfId="50" applyFont="1" applyFill="1" applyBorder="1" applyAlignment="1">
      <alignment horizontal="center" vertical="top" wrapText="1"/>
    </xf>
    <xf numFmtId="0" fontId="6" fillId="2" borderId="6" xfId="5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2" borderId="5" xfId="50" applyFont="1" applyFill="1" applyBorder="1" applyAlignment="1">
      <alignment horizontal="center" vertical="top" wrapText="1"/>
    </xf>
    <xf numFmtId="0" fontId="2" fillId="2" borderId="6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6" fillId="2" borderId="7" xfId="50" applyFont="1" applyFill="1" applyBorder="1" applyAlignment="1">
      <alignment horizontal="center" vertical="top" wrapText="1"/>
    </xf>
    <xf numFmtId="0" fontId="2" fillId="2" borderId="8" xfId="50" applyFont="1" applyFill="1" applyBorder="1" applyAlignment="1">
      <alignment horizontal="center" vertical="top" wrapText="1"/>
    </xf>
    <xf numFmtId="0" fontId="2" fillId="2" borderId="9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8" fillId="3" borderId="5" xfId="50" applyFont="1" applyFill="1" applyBorder="1" applyAlignment="1">
      <alignment horizontal="center" vertical="center" wrapText="1"/>
    </xf>
    <xf numFmtId="0" fontId="9" fillId="2" borderId="0" xfId="50" applyFont="1" applyFill="1" applyAlignment="1">
      <alignment horizontal="center" vertical="center" wrapText="1"/>
    </xf>
    <xf numFmtId="0" fontId="4" fillId="4" borderId="10" xfId="50" applyFont="1" applyFill="1" applyBorder="1" applyAlignment="1">
      <alignment horizontal="left" vertical="center"/>
    </xf>
    <xf numFmtId="0" fontId="4" fillId="4" borderId="11" xfId="50" applyFont="1" applyFill="1" applyBorder="1" applyAlignment="1">
      <alignment horizontal="left" vertical="center"/>
    </xf>
    <xf numFmtId="0" fontId="4" fillId="4" borderId="12" xfId="50" applyFont="1" applyFill="1" applyBorder="1" applyAlignment="1">
      <alignment horizontal="left" vertical="center"/>
    </xf>
    <xf numFmtId="0" fontId="9" fillId="2" borderId="0" xfId="50" applyFont="1" applyFill="1" applyAlignment="1">
      <alignment horizontal="left" vertical="center"/>
    </xf>
    <xf numFmtId="0" fontId="2" fillId="2" borderId="13" xfId="50" applyFont="1" applyFill="1" applyBorder="1" applyAlignment="1">
      <alignment vertical="top" wrapText="1"/>
    </xf>
    <xf numFmtId="0" fontId="5" fillId="2" borderId="13" xfId="5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2" borderId="13" xfId="0" applyFont="1" applyFill="1" applyBorder="1" applyAlignment="1">
      <alignment horizontal="left" vertical="top" wrapText="1"/>
    </xf>
    <xf numFmtId="0" fontId="4" fillId="4" borderId="14" xfId="50" applyFont="1" applyFill="1" applyBorder="1" applyAlignment="1">
      <alignment horizontal="left" vertical="center"/>
    </xf>
    <xf numFmtId="0" fontId="4" fillId="4" borderId="15" xfId="50" applyFont="1" applyFill="1" applyBorder="1" applyAlignment="1">
      <alignment horizontal="left" vertical="center"/>
    </xf>
    <xf numFmtId="0" fontId="4" fillId="4" borderId="16" xfId="50" applyFont="1" applyFill="1" applyBorder="1" applyAlignment="1">
      <alignment horizontal="left" vertical="center"/>
    </xf>
    <xf numFmtId="0" fontId="2" fillId="2" borderId="13" xfId="0" applyFont="1" applyFill="1" applyBorder="1"/>
    <xf numFmtId="0" fontId="4" fillId="4" borderId="11" xfId="50" applyFont="1" applyFill="1" applyBorder="1" applyAlignment="1">
      <alignment horizontal="left" vertical="center" wrapText="1"/>
    </xf>
    <xf numFmtId="0" fontId="4" fillId="4" borderId="15" xfId="50" applyFont="1" applyFill="1" applyBorder="1" applyAlignment="1">
      <alignment horizontal="left" vertical="center" wrapText="1"/>
    </xf>
    <xf numFmtId="0" fontId="2" fillId="2" borderId="0" xfId="5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0" fillId="2" borderId="0" xfId="49" applyFont="1" applyFill="1" applyAlignment="1">
      <alignment horizontal="center"/>
    </xf>
    <xf numFmtId="0" fontId="4" fillId="2" borderId="0" xfId="49" applyFont="1" applyFill="1"/>
    <xf numFmtId="0" fontId="2" fillId="2" borderId="0" xfId="49" applyFont="1" applyFill="1"/>
    <xf numFmtId="176" fontId="2" fillId="2" borderId="0" xfId="49" applyNumberFormat="1" applyFont="1" applyFill="1"/>
    <xf numFmtId="0" fontId="11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/>
    </xf>
    <xf numFmtId="0" fontId="11" fillId="2" borderId="13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vertical="top"/>
    </xf>
    <xf numFmtId="0" fontId="11" fillId="2" borderId="13" xfId="0" applyFont="1" applyFill="1" applyBorder="1" applyAlignment="1">
      <alignment vertical="center"/>
    </xf>
    <xf numFmtId="58" fontId="5" fillId="2" borderId="16" xfId="0" applyNumberFormat="1" applyFont="1" applyFill="1" applyBorder="1" applyAlignment="1">
      <alignment vertical="top"/>
    </xf>
    <xf numFmtId="0" fontId="5" fillId="2" borderId="13" xfId="49" applyFont="1" applyFill="1" applyBorder="1" applyAlignment="1">
      <alignment vertical="top"/>
    </xf>
    <xf numFmtId="0" fontId="11" fillId="2" borderId="0" xfId="0" applyFont="1" applyFill="1"/>
    <xf numFmtId="0" fontId="5" fillId="2" borderId="0" xfId="49" applyFont="1" applyFill="1"/>
    <xf numFmtId="0" fontId="2" fillId="2" borderId="17" xfId="0" applyFont="1" applyFill="1" applyBorder="1"/>
    <xf numFmtId="0" fontId="8" fillId="5" borderId="18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 wrapText="1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12" fillId="5" borderId="26" xfId="0" applyFont="1" applyFill="1" applyBorder="1" applyAlignment="1">
      <alignment horizontal="center"/>
    </xf>
    <xf numFmtId="0" fontId="8" fillId="5" borderId="27" xfId="0" applyFont="1" applyFill="1" applyBorder="1"/>
    <xf numFmtId="0" fontId="12" fillId="5" borderId="27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2" fontId="13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10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1" fontId="11" fillId="2" borderId="14" xfId="0" applyNumberFormat="1" applyFont="1" applyFill="1" applyBorder="1"/>
    <xf numFmtId="1" fontId="11" fillId="2" borderId="13" xfId="0" applyNumberFormat="1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top" wrapText="1"/>
    </xf>
    <xf numFmtId="1" fontId="11" fillId="2" borderId="0" xfId="0" applyNumberFormat="1" applyFont="1" applyFill="1"/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1" fontId="8" fillId="6" borderId="29" xfId="0" applyNumberFormat="1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1" fontId="2" fillId="2" borderId="31" xfId="0" applyNumberFormat="1" applyFont="1" applyFill="1" applyBorder="1" applyAlignment="1">
      <alignment vertical="center"/>
    </xf>
    <xf numFmtId="49" fontId="2" fillId="2" borderId="23" xfId="0" applyNumberFormat="1" applyFont="1" applyFill="1" applyBorder="1" applyAlignment="1">
      <alignment horizontal="left" vertical="center"/>
    </xf>
    <xf numFmtId="0" fontId="14" fillId="2" borderId="23" xfId="6" applyNumberFormat="1" applyFill="1" applyBorder="1" applyAlignment="1" applyProtection="1">
      <alignment horizontal="left" vertical="center"/>
    </xf>
    <xf numFmtId="0" fontId="15" fillId="2" borderId="23" xfId="6" applyNumberFormat="1" applyFont="1" applyFill="1" applyBorder="1" applyAlignment="1" applyProtection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1" fontId="2" fillId="2" borderId="33" xfId="0" applyNumberFormat="1" applyFont="1" applyFill="1" applyBorder="1" applyAlignment="1">
      <alignment vertical="center"/>
    </xf>
    <xf numFmtId="49" fontId="2" fillId="2" borderId="27" xfId="0" applyNumberFormat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0" borderId="0" xfId="5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2" fillId="0" borderId="0" xfId="51" applyFont="1" applyAlignment="1">
      <alignment vertical="top"/>
    </xf>
    <xf numFmtId="0" fontId="2" fillId="0" borderId="0" xfId="51" applyFont="1" applyAlignment="1">
      <alignment horizontal="left" indent="1"/>
    </xf>
    <xf numFmtId="0" fontId="2" fillId="0" borderId="0" xfId="51" applyFont="1"/>
    <xf numFmtId="0" fontId="16" fillId="0" borderId="14" xfId="51" applyFont="1" applyBorder="1" applyAlignment="1">
      <alignment horizontal="center" vertical="center"/>
    </xf>
    <xf numFmtId="0" fontId="10" fillId="0" borderId="13" xfId="51" applyFont="1" applyBorder="1" applyAlignment="1">
      <alignment horizontal="center" vertical="center"/>
    </xf>
    <xf numFmtId="0" fontId="11" fillId="2" borderId="0" xfId="51" applyFont="1" applyFill="1" applyAlignment="1">
      <alignment horizontal="left" indent="1"/>
    </xf>
    <xf numFmtId="0" fontId="5" fillId="0" borderId="0" xfId="51" applyFont="1" applyAlignment="1">
      <alignment horizontal="left" indent="1"/>
    </xf>
    <xf numFmtId="0" fontId="2" fillId="2" borderId="0" xfId="51" applyFont="1" applyFill="1"/>
    <xf numFmtId="0" fontId="4" fillId="2" borderId="13" xfId="51" applyFont="1" applyFill="1" applyBorder="1" applyAlignment="1">
      <alignment horizontal="left"/>
    </xf>
    <xf numFmtId="0" fontId="17" fillId="0" borderId="13" xfId="51" applyFont="1" applyBorder="1" applyAlignment="1">
      <alignment horizontal="left"/>
    </xf>
    <xf numFmtId="0" fontId="2" fillId="0" borderId="16" xfId="51" applyFont="1" applyBorder="1"/>
    <xf numFmtId="58" fontId="17" fillId="0" borderId="16" xfId="51" applyNumberFormat="1" applyFont="1" applyBorder="1"/>
    <xf numFmtId="0" fontId="4" fillId="2" borderId="13" xfId="51" applyFont="1" applyFill="1" applyBorder="1" applyAlignment="1">
      <alignment vertical="center"/>
    </xf>
    <xf numFmtId="0" fontId="17" fillId="0" borderId="14" xfId="51" applyFont="1" applyBorder="1" applyAlignment="1">
      <alignment horizontal="left" vertical="center"/>
    </xf>
    <xf numFmtId="0" fontId="17" fillId="0" borderId="15" xfId="51" applyFont="1" applyBorder="1" applyAlignment="1">
      <alignment horizontal="left" vertical="center"/>
    </xf>
    <xf numFmtId="0" fontId="17" fillId="0" borderId="16" xfId="51" applyFont="1" applyBorder="1" applyAlignment="1">
      <alignment horizontal="left" vertical="center"/>
    </xf>
    <xf numFmtId="0" fontId="17" fillId="0" borderId="16" xfId="51" applyFont="1" applyBorder="1" applyAlignment="1">
      <alignment horizontal="left" indent="1"/>
    </xf>
    <xf numFmtId="0" fontId="4" fillId="0" borderId="0" xfId="51" applyFont="1"/>
    <xf numFmtId="0" fontId="5" fillId="0" borderId="0" xfId="51" applyFont="1" applyAlignment="1">
      <alignment horizontal="left"/>
    </xf>
    <xf numFmtId="0" fontId="11" fillId="0" borderId="0" xfId="51" applyFont="1" applyAlignment="1">
      <alignment horizontal="left" indent="1"/>
    </xf>
    <xf numFmtId="0" fontId="4" fillId="0" borderId="0" xfId="51" applyFont="1" applyAlignment="1">
      <alignment horizontal="left"/>
    </xf>
    <xf numFmtId="176" fontId="8" fillId="5" borderId="29" xfId="51" applyNumberFormat="1" applyFont="1" applyFill="1" applyBorder="1" applyAlignment="1">
      <alignment horizontal="center" vertical="center"/>
    </xf>
    <xf numFmtId="0" fontId="8" fillId="5" borderId="19" xfId="51" applyFont="1" applyFill="1" applyBorder="1" applyAlignment="1">
      <alignment horizontal="center" vertical="center"/>
    </xf>
    <xf numFmtId="0" fontId="8" fillId="5" borderId="30" xfId="51" applyFont="1" applyFill="1" applyBorder="1" applyAlignment="1">
      <alignment horizontal="center" vertical="center"/>
    </xf>
    <xf numFmtId="58" fontId="17" fillId="0" borderId="31" xfId="51" applyNumberFormat="1" applyFont="1" applyBorder="1" applyAlignment="1">
      <alignment vertical="top" wrapText="1"/>
    </xf>
    <xf numFmtId="49" fontId="2" fillId="0" borderId="23" xfId="51" applyNumberFormat="1" applyFont="1" applyBorder="1" applyAlignment="1">
      <alignment vertical="top"/>
    </xf>
    <xf numFmtId="0" fontId="2" fillId="0" borderId="23" xfId="51" applyFont="1" applyBorder="1" applyAlignment="1">
      <alignment vertical="top"/>
    </xf>
    <xf numFmtId="15" fontId="2" fillId="0" borderId="23" xfId="51" applyNumberFormat="1" applyFont="1" applyBorder="1" applyAlignment="1">
      <alignment vertical="top"/>
    </xf>
    <xf numFmtId="0" fontId="17" fillId="0" borderId="32" xfId="51" applyFont="1" applyBorder="1" applyAlignment="1">
      <alignment vertical="top" wrapText="1"/>
    </xf>
    <xf numFmtId="176" fontId="2" fillId="0" borderId="31" xfId="51" applyNumberFormat="1" applyFont="1" applyBorder="1" applyAlignment="1">
      <alignment vertical="top"/>
    </xf>
    <xf numFmtId="0" fontId="2" fillId="0" borderId="32" xfId="51" applyFont="1" applyBorder="1" applyAlignment="1">
      <alignment vertical="top"/>
    </xf>
    <xf numFmtId="176" fontId="2" fillId="0" borderId="33" xfId="51" applyNumberFormat="1" applyFont="1" applyBorder="1" applyAlignment="1">
      <alignment vertical="top"/>
    </xf>
    <xf numFmtId="49" fontId="2" fillId="0" borderId="27" xfId="51" applyNumberFormat="1" applyFont="1" applyBorder="1" applyAlignment="1">
      <alignment vertical="top"/>
    </xf>
    <xf numFmtId="0" fontId="2" fillId="0" borderId="27" xfId="51" applyFont="1" applyBorder="1" applyAlignment="1">
      <alignment vertical="top"/>
    </xf>
    <xf numFmtId="0" fontId="2" fillId="0" borderId="34" xfId="51" applyFont="1" applyBorder="1" applyAlignment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" xfId="50"/>
    <cellStyle name="Normal_Template_UnitTest Case_v0.9" xfId="51"/>
    <cellStyle name="標準_結合試験(AllOvertheWorld)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6540"/>
          <a:ext cx="193167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11</xdr:row>
      <xdr:rowOff>1</xdr:rowOff>
    </xdr:from>
    <xdr:to>
      <xdr:col>4</xdr:col>
      <xdr:colOff>0</xdr:colOff>
      <xdr:row>11</xdr:row>
      <xdr:rowOff>1414115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875020" y="2297430"/>
          <a:ext cx="2377440" cy="14135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7"/>
  <sheetViews>
    <sheetView showGridLines="0" workbookViewId="0">
      <selection activeCell="B3" sqref="B3"/>
    </sheetView>
  </sheetViews>
  <sheetFormatPr defaultColWidth="9" defaultRowHeight="13.2" outlineLevelCol="5"/>
  <cols>
    <col min="1" max="1" width="28.1666666666667" style="113" customWidth="1"/>
    <col min="2" max="2" width="10" style="114" customWidth="1"/>
    <col min="3" max="3" width="14.3333333333333" style="114" customWidth="1"/>
    <col min="4" max="4" width="8" style="114" customWidth="1"/>
    <col min="5" max="5" width="38" style="114" customWidth="1"/>
    <col min="6" max="6" width="48.1666666666667" style="114" customWidth="1"/>
    <col min="7" max="256" width="9" style="114"/>
    <col min="257" max="257" width="28.1666666666667" style="114" customWidth="1"/>
    <col min="258" max="258" width="10" style="114" customWidth="1"/>
    <col min="259" max="259" width="14.3333333333333" style="114" customWidth="1"/>
    <col min="260" max="260" width="8" style="114" customWidth="1"/>
    <col min="261" max="261" width="38" style="114" customWidth="1"/>
    <col min="262" max="262" width="48.1666666666667" style="114" customWidth="1"/>
    <col min="263" max="512" width="9" style="114"/>
    <col min="513" max="513" width="28.1666666666667" style="114" customWidth="1"/>
    <col min="514" max="514" width="10" style="114" customWidth="1"/>
    <col min="515" max="515" width="14.3333333333333" style="114" customWidth="1"/>
    <col min="516" max="516" width="8" style="114" customWidth="1"/>
    <col min="517" max="517" width="38" style="114" customWidth="1"/>
    <col min="518" max="518" width="48.1666666666667" style="114" customWidth="1"/>
    <col min="519" max="768" width="9" style="114"/>
    <col min="769" max="769" width="28.1666666666667" style="114" customWidth="1"/>
    <col min="770" max="770" width="10" style="114" customWidth="1"/>
    <col min="771" max="771" width="14.3333333333333" style="114" customWidth="1"/>
    <col min="772" max="772" width="8" style="114" customWidth="1"/>
    <col min="773" max="773" width="38" style="114" customWidth="1"/>
    <col min="774" max="774" width="48.1666666666667" style="114" customWidth="1"/>
    <col min="775" max="1024" width="9" style="114"/>
    <col min="1025" max="1025" width="28.1666666666667" style="114" customWidth="1"/>
    <col min="1026" max="1026" width="10" style="114" customWidth="1"/>
    <col min="1027" max="1027" width="14.3333333333333" style="114" customWidth="1"/>
    <col min="1028" max="1028" width="8" style="114" customWidth="1"/>
    <col min="1029" max="1029" width="38" style="114" customWidth="1"/>
    <col min="1030" max="1030" width="48.1666666666667" style="114" customWidth="1"/>
    <col min="1031" max="1280" width="9" style="114"/>
    <col min="1281" max="1281" width="28.1666666666667" style="114" customWidth="1"/>
    <col min="1282" max="1282" width="10" style="114" customWidth="1"/>
    <col min="1283" max="1283" width="14.3333333333333" style="114" customWidth="1"/>
    <col min="1284" max="1284" width="8" style="114" customWidth="1"/>
    <col min="1285" max="1285" width="38" style="114" customWidth="1"/>
    <col min="1286" max="1286" width="48.1666666666667" style="114" customWidth="1"/>
    <col min="1287" max="1536" width="9" style="114"/>
    <col min="1537" max="1537" width="28.1666666666667" style="114" customWidth="1"/>
    <col min="1538" max="1538" width="10" style="114" customWidth="1"/>
    <col min="1539" max="1539" width="14.3333333333333" style="114" customWidth="1"/>
    <col min="1540" max="1540" width="8" style="114" customWidth="1"/>
    <col min="1541" max="1541" width="38" style="114" customWidth="1"/>
    <col min="1542" max="1542" width="48.1666666666667" style="114" customWidth="1"/>
    <col min="1543" max="1792" width="9" style="114"/>
    <col min="1793" max="1793" width="28.1666666666667" style="114" customWidth="1"/>
    <col min="1794" max="1794" width="10" style="114" customWidth="1"/>
    <col min="1795" max="1795" width="14.3333333333333" style="114" customWidth="1"/>
    <col min="1796" max="1796" width="8" style="114" customWidth="1"/>
    <col min="1797" max="1797" width="38" style="114" customWidth="1"/>
    <col min="1798" max="1798" width="48.1666666666667" style="114" customWidth="1"/>
    <col min="1799" max="2048" width="9" style="114"/>
    <col min="2049" max="2049" width="28.1666666666667" style="114" customWidth="1"/>
    <col min="2050" max="2050" width="10" style="114" customWidth="1"/>
    <col min="2051" max="2051" width="14.3333333333333" style="114" customWidth="1"/>
    <col min="2052" max="2052" width="8" style="114" customWidth="1"/>
    <col min="2053" max="2053" width="38" style="114" customWidth="1"/>
    <col min="2054" max="2054" width="48.1666666666667" style="114" customWidth="1"/>
    <col min="2055" max="2304" width="9" style="114"/>
    <col min="2305" max="2305" width="28.1666666666667" style="114" customWidth="1"/>
    <col min="2306" max="2306" width="10" style="114" customWidth="1"/>
    <col min="2307" max="2307" width="14.3333333333333" style="114" customWidth="1"/>
    <col min="2308" max="2308" width="8" style="114" customWidth="1"/>
    <col min="2309" max="2309" width="38" style="114" customWidth="1"/>
    <col min="2310" max="2310" width="48.1666666666667" style="114" customWidth="1"/>
    <col min="2311" max="2560" width="9" style="114"/>
    <col min="2561" max="2561" width="28.1666666666667" style="114" customWidth="1"/>
    <col min="2562" max="2562" width="10" style="114" customWidth="1"/>
    <col min="2563" max="2563" width="14.3333333333333" style="114" customWidth="1"/>
    <col min="2564" max="2564" width="8" style="114" customWidth="1"/>
    <col min="2565" max="2565" width="38" style="114" customWidth="1"/>
    <col min="2566" max="2566" width="48.1666666666667" style="114" customWidth="1"/>
    <col min="2567" max="2816" width="9" style="114"/>
    <col min="2817" max="2817" width="28.1666666666667" style="114" customWidth="1"/>
    <col min="2818" max="2818" width="10" style="114" customWidth="1"/>
    <col min="2819" max="2819" width="14.3333333333333" style="114" customWidth="1"/>
    <col min="2820" max="2820" width="8" style="114" customWidth="1"/>
    <col min="2821" max="2821" width="38" style="114" customWidth="1"/>
    <col min="2822" max="2822" width="48.1666666666667" style="114" customWidth="1"/>
    <col min="2823" max="3072" width="9" style="114"/>
    <col min="3073" max="3073" width="28.1666666666667" style="114" customWidth="1"/>
    <col min="3074" max="3074" width="10" style="114" customWidth="1"/>
    <col min="3075" max="3075" width="14.3333333333333" style="114" customWidth="1"/>
    <col min="3076" max="3076" width="8" style="114" customWidth="1"/>
    <col min="3077" max="3077" width="38" style="114" customWidth="1"/>
    <col min="3078" max="3078" width="48.1666666666667" style="114" customWidth="1"/>
    <col min="3079" max="3328" width="9" style="114"/>
    <col min="3329" max="3329" width="28.1666666666667" style="114" customWidth="1"/>
    <col min="3330" max="3330" width="10" style="114" customWidth="1"/>
    <col min="3331" max="3331" width="14.3333333333333" style="114" customWidth="1"/>
    <col min="3332" max="3332" width="8" style="114" customWidth="1"/>
    <col min="3333" max="3333" width="38" style="114" customWidth="1"/>
    <col min="3334" max="3334" width="48.1666666666667" style="114" customWidth="1"/>
    <col min="3335" max="3584" width="9" style="114"/>
    <col min="3585" max="3585" width="28.1666666666667" style="114" customWidth="1"/>
    <col min="3586" max="3586" width="10" style="114" customWidth="1"/>
    <col min="3587" max="3587" width="14.3333333333333" style="114" customWidth="1"/>
    <col min="3588" max="3588" width="8" style="114" customWidth="1"/>
    <col min="3589" max="3589" width="38" style="114" customWidth="1"/>
    <col min="3590" max="3590" width="48.1666666666667" style="114" customWidth="1"/>
    <col min="3591" max="3840" width="9" style="114"/>
    <col min="3841" max="3841" width="28.1666666666667" style="114" customWidth="1"/>
    <col min="3842" max="3842" width="10" style="114" customWidth="1"/>
    <col min="3843" max="3843" width="14.3333333333333" style="114" customWidth="1"/>
    <col min="3844" max="3844" width="8" style="114" customWidth="1"/>
    <col min="3845" max="3845" width="38" style="114" customWidth="1"/>
    <col min="3846" max="3846" width="48.1666666666667" style="114" customWidth="1"/>
    <col min="3847" max="4096" width="9" style="114"/>
    <col min="4097" max="4097" width="28.1666666666667" style="114" customWidth="1"/>
    <col min="4098" max="4098" width="10" style="114" customWidth="1"/>
    <col min="4099" max="4099" width="14.3333333333333" style="114" customWidth="1"/>
    <col min="4100" max="4100" width="8" style="114" customWidth="1"/>
    <col min="4101" max="4101" width="38" style="114" customWidth="1"/>
    <col min="4102" max="4102" width="48.1666666666667" style="114" customWidth="1"/>
    <col min="4103" max="4352" width="9" style="114"/>
    <col min="4353" max="4353" width="28.1666666666667" style="114" customWidth="1"/>
    <col min="4354" max="4354" width="10" style="114" customWidth="1"/>
    <col min="4355" max="4355" width="14.3333333333333" style="114" customWidth="1"/>
    <col min="4356" max="4356" width="8" style="114" customWidth="1"/>
    <col min="4357" max="4357" width="38" style="114" customWidth="1"/>
    <col min="4358" max="4358" width="48.1666666666667" style="114" customWidth="1"/>
    <col min="4359" max="4608" width="9" style="114"/>
    <col min="4609" max="4609" width="28.1666666666667" style="114" customWidth="1"/>
    <col min="4610" max="4610" width="10" style="114" customWidth="1"/>
    <col min="4611" max="4611" width="14.3333333333333" style="114" customWidth="1"/>
    <col min="4612" max="4612" width="8" style="114" customWidth="1"/>
    <col min="4613" max="4613" width="38" style="114" customWidth="1"/>
    <col min="4614" max="4614" width="48.1666666666667" style="114" customWidth="1"/>
    <col min="4615" max="4864" width="9" style="114"/>
    <col min="4865" max="4865" width="28.1666666666667" style="114" customWidth="1"/>
    <col min="4866" max="4866" width="10" style="114" customWidth="1"/>
    <col min="4867" max="4867" width="14.3333333333333" style="114" customWidth="1"/>
    <col min="4868" max="4868" width="8" style="114" customWidth="1"/>
    <col min="4869" max="4869" width="38" style="114" customWidth="1"/>
    <col min="4870" max="4870" width="48.1666666666667" style="114" customWidth="1"/>
    <col min="4871" max="5120" width="9" style="114"/>
    <col min="5121" max="5121" width="28.1666666666667" style="114" customWidth="1"/>
    <col min="5122" max="5122" width="10" style="114" customWidth="1"/>
    <col min="5123" max="5123" width="14.3333333333333" style="114" customWidth="1"/>
    <col min="5124" max="5124" width="8" style="114" customWidth="1"/>
    <col min="5125" max="5125" width="38" style="114" customWidth="1"/>
    <col min="5126" max="5126" width="48.1666666666667" style="114" customWidth="1"/>
    <col min="5127" max="5376" width="9" style="114"/>
    <col min="5377" max="5377" width="28.1666666666667" style="114" customWidth="1"/>
    <col min="5378" max="5378" width="10" style="114" customWidth="1"/>
    <col min="5379" max="5379" width="14.3333333333333" style="114" customWidth="1"/>
    <col min="5380" max="5380" width="8" style="114" customWidth="1"/>
    <col min="5381" max="5381" width="38" style="114" customWidth="1"/>
    <col min="5382" max="5382" width="48.1666666666667" style="114" customWidth="1"/>
    <col min="5383" max="5632" width="9" style="114"/>
    <col min="5633" max="5633" width="28.1666666666667" style="114" customWidth="1"/>
    <col min="5634" max="5634" width="10" style="114" customWidth="1"/>
    <col min="5635" max="5635" width="14.3333333333333" style="114" customWidth="1"/>
    <col min="5636" max="5636" width="8" style="114" customWidth="1"/>
    <col min="5637" max="5637" width="38" style="114" customWidth="1"/>
    <col min="5638" max="5638" width="48.1666666666667" style="114" customWidth="1"/>
    <col min="5639" max="5888" width="9" style="114"/>
    <col min="5889" max="5889" width="28.1666666666667" style="114" customWidth="1"/>
    <col min="5890" max="5890" width="10" style="114" customWidth="1"/>
    <col min="5891" max="5891" width="14.3333333333333" style="114" customWidth="1"/>
    <col min="5892" max="5892" width="8" style="114" customWidth="1"/>
    <col min="5893" max="5893" width="38" style="114" customWidth="1"/>
    <col min="5894" max="5894" width="48.1666666666667" style="114" customWidth="1"/>
    <col min="5895" max="6144" width="9" style="114"/>
    <col min="6145" max="6145" width="28.1666666666667" style="114" customWidth="1"/>
    <col min="6146" max="6146" width="10" style="114" customWidth="1"/>
    <col min="6147" max="6147" width="14.3333333333333" style="114" customWidth="1"/>
    <col min="6148" max="6148" width="8" style="114" customWidth="1"/>
    <col min="6149" max="6149" width="38" style="114" customWidth="1"/>
    <col min="6150" max="6150" width="48.1666666666667" style="114" customWidth="1"/>
    <col min="6151" max="6400" width="9" style="114"/>
    <col min="6401" max="6401" width="28.1666666666667" style="114" customWidth="1"/>
    <col min="6402" max="6402" width="10" style="114" customWidth="1"/>
    <col min="6403" max="6403" width="14.3333333333333" style="114" customWidth="1"/>
    <col min="6404" max="6404" width="8" style="114" customWidth="1"/>
    <col min="6405" max="6405" width="38" style="114" customWidth="1"/>
    <col min="6406" max="6406" width="48.1666666666667" style="114" customWidth="1"/>
    <col min="6407" max="6656" width="9" style="114"/>
    <col min="6657" max="6657" width="28.1666666666667" style="114" customWidth="1"/>
    <col min="6658" max="6658" width="10" style="114" customWidth="1"/>
    <col min="6659" max="6659" width="14.3333333333333" style="114" customWidth="1"/>
    <col min="6660" max="6660" width="8" style="114" customWidth="1"/>
    <col min="6661" max="6661" width="38" style="114" customWidth="1"/>
    <col min="6662" max="6662" width="48.1666666666667" style="114" customWidth="1"/>
    <col min="6663" max="6912" width="9" style="114"/>
    <col min="6913" max="6913" width="28.1666666666667" style="114" customWidth="1"/>
    <col min="6914" max="6914" width="10" style="114" customWidth="1"/>
    <col min="6915" max="6915" width="14.3333333333333" style="114" customWidth="1"/>
    <col min="6916" max="6916" width="8" style="114" customWidth="1"/>
    <col min="6917" max="6917" width="38" style="114" customWidth="1"/>
    <col min="6918" max="6918" width="48.1666666666667" style="114" customWidth="1"/>
    <col min="6919" max="7168" width="9" style="114"/>
    <col min="7169" max="7169" width="28.1666666666667" style="114" customWidth="1"/>
    <col min="7170" max="7170" width="10" style="114" customWidth="1"/>
    <col min="7171" max="7171" width="14.3333333333333" style="114" customWidth="1"/>
    <col min="7172" max="7172" width="8" style="114" customWidth="1"/>
    <col min="7173" max="7173" width="38" style="114" customWidth="1"/>
    <col min="7174" max="7174" width="48.1666666666667" style="114" customWidth="1"/>
    <col min="7175" max="7424" width="9" style="114"/>
    <col min="7425" max="7425" width="28.1666666666667" style="114" customWidth="1"/>
    <col min="7426" max="7426" width="10" style="114" customWidth="1"/>
    <col min="7427" max="7427" width="14.3333333333333" style="114" customWidth="1"/>
    <col min="7428" max="7428" width="8" style="114" customWidth="1"/>
    <col min="7429" max="7429" width="38" style="114" customWidth="1"/>
    <col min="7430" max="7430" width="48.1666666666667" style="114" customWidth="1"/>
    <col min="7431" max="7680" width="9" style="114"/>
    <col min="7681" max="7681" width="28.1666666666667" style="114" customWidth="1"/>
    <col min="7682" max="7682" width="10" style="114" customWidth="1"/>
    <col min="7683" max="7683" width="14.3333333333333" style="114" customWidth="1"/>
    <col min="7684" max="7684" width="8" style="114" customWidth="1"/>
    <col min="7685" max="7685" width="38" style="114" customWidth="1"/>
    <col min="7686" max="7686" width="48.1666666666667" style="114" customWidth="1"/>
    <col min="7687" max="7936" width="9" style="114"/>
    <col min="7937" max="7937" width="28.1666666666667" style="114" customWidth="1"/>
    <col min="7938" max="7938" width="10" style="114" customWidth="1"/>
    <col min="7939" max="7939" width="14.3333333333333" style="114" customWidth="1"/>
    <col min="7940" max="7940" width="8" style="114" customWidth="1"/>
    <col min="7941" max="7941" width="38" style="114" customWidth="1"/>
    <col min="7942" max="7942" width="48.1666666666667" style="114" customWidth="1"/>
    <col min="7943" max="8192" width="9" style="114"/>
    <col min="8193" max="8193" width="28.1666666666667" style="114" customWidth="1"/>
    <col min="8194" max="8194" width="10" style="114" customWidth="1"/>
    <col min="8195" max="8195" width="14.3333333333333" style="114" customWidth="1"/>
    <col min="8196" max="8196" width="8" style="114" customWidth="1"/>
    <col min="8197" max="8197" width="38" style="114" customWidth="1"/>
    <col min="8198" max="8198" width="48.1666666666667" style="114" customWidth="1"/>
    <col min="8199" max="8448" width="9" style="114"/>
    <col min="8449" max="8449" width="28.1666666666667" style="114" customWidth="1"/>
    <col min="8450" max="8450" width="10" style="114" customWidth="1"/>
    <col min="8451" max="8451" width="14.3333333333333" style="114" customWidth="1"/>
    <col min="8452" max="8452" width="8" style="114" customWidth="1"/>
    <col min="8453" max="8453" width="38" style="114" customWidth="1"/>
    <col min="8454" max="8454" width="48.1666666666667" style="114" customWidth="1"/>
    <col min="8455" max="8704" width="9" style="114"/>
    <col min="8705" max="8705" width="28.1666666666667" style="114" customWidth="1"/>
    <col min="8706" max="8706" width="10" style="114" customWidth="1"/>
    <col min="8707" max="8707" width="14.3333333333333" style="114" customWidth="1"/>
    <col min="8708" max="8708" width="8" style="114" customWidth="1"/>
    <col min="8709" max="8709" width="38" style="114" customWidth="1"/>
    <col min="8710" max="8710" width="48.1666666666667" style="114" customWidth="1"/>
    <col min="8711" max="8960" width="9" style="114"/>
    <col min="8961" max="8961" width="28.1666666666667" style="114" customWidth="1"/>
    <col min="8962" max="8962" width="10" style="114" customWidth="1"/>
    <col min="8963" max="8963" width="14.3333333333333" style="114" customWidth="1"/>
    <col min="8964" max="8964" width="8" style="114" customWidth="1"/>
    <col min="8965" max="8965" width="38" style="114" customWidth="1"/>
    <col min="8966" max="8966" width="48.1666666666667" style="114" customWidth="1"/>
    <col min="8967" max="9216" width="9" style="114"/>
    <col min="9217" max="9217" width="28.1666666666667" style="114" customWidth="1"/>
    <col min="9218" max="9218" width="10" style="114" customWidth="1"/>
    <col min="9219" max="9219" width="14.3333333333333" style="114" customWidth="1"/>
    <col min="9220" max="9220" width="8" style="114" customWidth="1"/>
    <col min="9221" max="9221" width="38" style="114" customWidth="1"/>
    <col min="9222" max="9222" width="48.1666666666667" style="114" customWidth="1"/>
    <col min="9223" max="9472" width="9" style="114"/>
    <col min="9473" max="9473" width="28.1666666666667" style="114" customWidth="1"/>
    <col min="9474" max="9474" width="10" style="114" customWidth="1"/>
    <col min="9475" max="9475" width="14.3333333333333" style="114" customWidth="1"/>
    <col min="9476" max="9476" width="8" style="114" customWidth="1"/>
    <col min="9477" max="9477" width="38" style="114" customWidth="1"/>
    <col min="9478" max="9478" width="48.1666666666667" style="114" customWidth="1"/>
    <col min="9479" max="9728" width="9" style="114"/>
    <col min="9729" max="9729" width="28.1666666666667" style="114" customWidth="1"/>
    <col min="9730" max="9730" width="10" style="114" customWidth="1"/>
    <col min="9731" max="9731" width="14.3333333333333" style="114" customWidth="1"/>
    <col min="9732" max="9732" width="8" style="114" customWidth="1"/>
    <col min="9733" max="9733" width="38" style="114" customWidth="1"/>
    <col min="9734" max="9734" width="48.1666666666667" style="114" customWidth="1"/>
    <col min="9735" max="9984" width="9" style="114"/>
    <col min="9985" max="9985" width="28.1666666666667" style="114" customWidth="1"/>
    <col min="9986" max="9986" width="10" style="114" customWidth="1"/>
    <col min="9987" max="9987" width="14.3333333333333" style="114" customWidth="1"/>
    <col min="9988" max="9988" width="8" style="114" customWidth="1"/>
    <col min="9989" max="9989" width="38" style="114" customWidth="1"/>
    <col min="9990" max="9990" width="48.1666666666667" style="114" customWidth="1"/>
    <col min="9991" max="10240" width="9" style="114"/>
    <col min="10241" max="10241" width="28.1666666666667" style="114" customWidth="1"/>
    <col min="10242" max="10242" width="10" style="114" customWidth="1"/>
    <col min="10243" max="10243" width="14.3333333333333" style="114" customWidth="1"/>
    <col min="10244" max="10244" width="8" style="114" customWidth="1"/>
    <col min="10245" max="10245" width="38" style="114" customWidth="1"/>
    <col min="10246" max="10246" width="48.1666666666667" style="114" customWidth="1"/>
    <col min="10247" max="10496" width="9" style="114"/>
    <col min="10497" max="10497" width="28.1666666666667" style="114" customWidth="1"/>
    <col min="10498" max="10498" width="10" style="114" customWidth="1"/>
    <col min="10499" max="10499" width="14.3333333333333" style="114" customWidth="1"/>
    <col min="10500" max="10500" width="8" style="114" customWidth="1"/>
    <col min="10501" max="10501" width="38" style="114" customWidth="1"/>
    <col min="10502" max="10502" width="48.1666666666667" style="114" customWidth="1"/>
    <col min="10503" max="10752" width="9" style="114"/>
    <col min="10753" max="10753" width="28.1666666666667" style="114" customWidth="1"/>
    <col min="10754" max="10754" width="10" style="114" customWidth="1"/>
    <col min="10755" max="10755" width="14.3333333333333" style="114" customWidth="1"/>
    <col min="10756" max="10756" width="8" style="114" customWidth="1"/>
    <col min="10757" max="10757" width="38" style="114" customWidth="1"/>
    <col min="10758" max="10758" width="48.1666666666667" style="114" customWidth="1"/>
    <col min="10759" max="11008" width="9" style="114"/>
    <col min="11009" max="11009" width="28.1666666666667" style="114" customWidth="1"/>
    <col min="11010" max="11010" width="10" style="114" customWidth="1"/>
    <col min="11011" max="11011" width="14.3333333333333" style="114" customWidth="1"/>
    <col min="11012" max="11012" width="8" style="114" customWidth="1"/>
    <col min="11013" max="11013" width="38" style="114" customWidth="1"/>
    <col min="11014" max="11014" width="48.1666666666667" style="114" customWidth="1"/>
    <col min="11015" max="11264" width="9" style="114"/>
    <col min="11265" max="11265" width="28.1666666666667" style="114" customWidth="1"/>
    <col min="11266" max="11266" width="10" style="114" customWidth="1"/>
    <col min="11267" max="11267" width="14.3333333333333" style="114" customWidth="1"/>
    <col min="11268" max="11268" width="8" style="114" customWidth="1"/>
    <col min="11269" max="11269" width="38" style="114" customWidth="1"/>
    <col min="11270" max="11270" width="48.1666666666667" style="114" customWidth="1"/>
    <col min="11271" max="11520" width="9" style="114"/>
    <col min="11521" max="11521" width="28.1666666666667" style="114" customWidth="1"/>
    <col min="11522" max="11522" width="10" style="114" customWidth="1"/>
    <col min="11523" max="11523" width="14.3333333333333" style="114" customWidth="1"/>
    <col min="11524" max="11524" width="8" style="114" customWidth="1"/>
    <col min="11525" max="11525" width="38" style="114" customWidth="1"/>
    <col min="11526" max="11526" width="48.1666666666667" style="114" customWidth="1"/>
    <col min="11527" max="11776" width="9" style="114"/>
    <col min="11777" max="11777" width="28.1666666666667" style="114" customWidth="1"/>
    <col min="11778" max="11778" width="10" style="114" customWidth="1"/>
    <col min="11779" max="11779" width="14.3333333333333" style="114" customWidth="1"/>
    <col min="11780" max="11780" width="8" style="114" customWidth="1"/>
    <col min="11781" max="11781" width="38" style="114" customWidth="1"/>
    <col min="11782" max="11782" width="48.1666666666667" style="114" customWidth="1"/>
    <col min="11783" max="12032" width="9" style="114"/>
    <col min="12033" max="12033" width="28.1666666666667" style="114" customWidth="1"/>
    <col min="12034" max="12034" width="10" style="114" customWidth="1"/>
    <col min="12035" max="12035" width="14.3333333333333" style="114" customWidth="1"/>
    <col min="12036" max="12036" width="8" style="114" customWidth="1"/>
    <col min="12037" max="12037" width="38" style="114" customWidth="1"/>
    <col min="12038" max="12038" width="48.1666666666667" style="114" customWidth="1"/>
    <col min="12039" max="12288" width="9" style="114"/>
    <col min="12289" max="12289" width="28.1666666666667" style="114" customWidth="1"/>
    <col min="12290" max="12290" width="10" style="114" customWidth="1"/>
    <col min="12291" max="12291" width="14.3333333333333" style="114" customWidth="1"/>
    <col min="12292" max="12292" width="8" style="114" customWidth="1"/>
    <col min="12293" max="12293" width="38" style="114" customWidth="1"/>
    <col min="12294" max="12294" width="48.1666666666667" style="114" customWidth="1"/>
    <col min="12295" max="12544" width="9" style="114"/>
    <col min="12545" max="12545" width="28.1666666666667" style="114" customWidth="1"/>
    <col min="12546" max="12546" width="10" style="114" customWidth="1"/>
    <col min="12547" max="12547" width="14.3333333333333" style="114" customWidth="1"/>
    <col min="12548" max="12548" width="8" style="114" customWidth="1"/>
    <col min="12549" max="12549" width="38" style="114" customWidth="1"/>
    <col min="12550" max="12550" width="48.1666666666667" style="114" customWidth="1"/>
    <col min="12551" max="12800" width="9" style="114"/>
    <col min="12801" max="12801" width="28.1666666666667" style="114" customWidth="1"/>
    <col min="12802" max="12802" width="10" style="114" customWidth="1"/>
    <col min="12803" max="12803" width="14.3333333333333" style="114" customWidth="1"/>
    <col min="12804" max="12804" width="8" style="114" customWidth="1"/>
    <col min="12805" max="12805" width="38" style="114" customWidth="1"/>
    <col min="12806" max="12806" width="48.1666666666667" style="114" customWidth="1"/>
    <col min="12807" max="13056" width="9" style="114"/>
    <col min="13057" max="13057" width="28.1666666666667" style="114" customWidth="1"/>
    <col min="13058" max="13058" width="10" style="114" customWidth="1"/>
    <col min="13059" max="13059" width="14.3333333333333" style="114" customWidth="1"/>
    <col min="13060" max="13060" width="8" style="114" customWidth="1"/>
    <col min="13061" max="13061" width="38" style="114" customWidth="1"/>
    <col min="13062" max="13062" width="48.1666666666667" style="114" customWidth="1"/>
    <col min="13063" max="13312" width="9" style="114"/>
    <col min="13313" max="13313" width="28.1666666666667" style="114" customWidth="1"/>
    <col min="13314" max="13314" width="10" style="114" customWidth="1"/>
    <col min="13315" max="13315" width="14.3333333333333" style="114" customWidth="1"/>
    <col min="13316" max="13316" width="8" style="114" customWidth="1"/>
    <col min="13317" max="13317" width="38" style="114" customWidth="1"/>
    <col min="13318" max="13318" width="48.1666666666667" style="114" customWidth="1"/>
    <col min="13319" max="13568" width="9" style="114"/>
    <col min="13569" max="13569" width="28.1666666666667" style="114" customWidth="1"/>
    <col min="13570" max="13570" width="10" style="114" customWidth="1"/>
    <col min="13571" max="13571" width="14.3333333333333" style="114" customWidth="1"/>
    <col min="13572" max="13572" width="8" style="114" customWidth="1"/>
    <col min="13573" max="13573" width="38" style="114" customWidth="1"/>
    <col min="13574" max="13574" width="48.1666666666667" style="114" customWidth="1"/>
    <col min="13575" max="13824" width="9" style="114"/>
    <col min="13825" max="13825" width="28.1666666666667" style="114" customWidth="1"/>
    <col min="13826" max="13826" width="10" style="114" customWidth="1"/>
    <col min="13827" max="13827" width="14.3333333333333" style="114" customWidth="1"/>
    <col min="13828" max="13828" width="8" style="114" customWidth="1"/>
    <col min="13829" max="13829" width="38" style="114" customWidth="1"/>
    <col min="13830" max="13830" width="48.1666666666667" style="114" customWidth="1"/>
    <col min="13831" max="14080" width="9" style="114"/>
    <col min="14081" max="14081" width="28.1666666666667" style="114" customWidth="1"/>
    <col min="14082" max="14082" width="10" style="114" customWidth="1"/>
    <col min="14083" max="14083" width="14.3333333333333" style="114" customWidth="1"/>
    <col min="14084" max="14084" width="8" style="114" customWidth="1"/>
    <col min="14085" max="14085" width="38" style="114" customWidth="1"/>
    <col min="14086" max="14086" width="48.1666666666667" style="114" customWidth="1"/>
    <col min="14087" max="14336" width="9" style="114"/>
    <col min="14337" max="14337" width="28.1666666666667" style="114" customWidth="1"/>
    <col min="14338" max="14338" width="10" style="114" customWidth="1"/>
    <col min="14339" max="14339" width="14.3333333333333" style="114" customWidth="1"/>
    <col min="14340" max="14340" width="8" style="114" customWidth="1"/>
    <col min="14341" max="14341" width="38" style="114" customWidth="1"/>
    <col min="14342" max="14342" width="48.1666666666667" style="114" customWidth="1"/>
    <col min="14343" max="14592" width="9" style="114"/>
    <col min="14593" max="14593" width="28.1666666666667" style="114" customWidth="1"/>
    <col min="14594" max="14594" width="10" style="114" customWidth="1"/>
    <col min="14595" max="14595" width="14.3333333333333" style="114" customWidth="1"/>
    <col min="14596" max="14596" width="8" style="114" customWidth="1"/>
    <col min="14597" max="14597" width="38" style="114" customWidth="1"/>
    <col min="14598" max="14598" width="48.1666666666667" style="114" customWidth="1"/>
    <col min="14599" max="14848" width="9" style="114"/>
    <col min="14849" max="14849" width="28.1666666666667" style="114" customWidth="1"/>
    <col min="14850" max="14850" width="10" style="114" customWidth="1"/>
    <col min="14851" max="14851" width="14.3333333333333" style="114" customWidth="1"/>
    <col min="14852" max="14852" width="8" style="114" customWidth="1"/>
    <col min="14853" max="14853" width="38" style="114" customWidth="1"/>
    <col min="14854" max="14854" width="48.1666666666667" style="114" customWidth="1"/>
    <col min="14855" max="15104" width="9" style="114"/>
    <col min="15105" max="15105" width="28.1666666666667" style="114" customWidth="1"/>
    <col min="15106" max="15106" width="10" style="114" customWidth="1"/>
    <col min="15107" max="15107" width="14.3333333333333" style="114" customWidth="1"/>
    <col min="15108" max="15108" width="8" style="114" customWidth="1"/>
    <col min="15109" max="15109" width="38" style="114" customWidth="1"/>
    <col min="15110" max="15110" width="48.1666666666667" style="114" customWidth="1"/>
    <col min="15111" max="15360" width="9" style="114"/>
    <col min="15361" max="15361" width="28.1666666666667" style="114" customWidth="1"/>
    <col min="15362" max="15362" width="10" style="114" customWidth="1"/>
    <col min="15363" max="15363" width="14.3333333333333" style="114" customWidth="1"/>
    <col min="15364" max="15364" width="8" style="114" customWidth="1"/>
    <col min="15365" max="15365" width="38" style="114" customWidth="1"/>
    <col min="15366" max="15366" width="48.1666666666667" style="114" customWidth="1"/>
    <col min="15367" max="15616" width="9" style="114"/>
    <col min="15617" max="15617" width="28.1666666666667" style="114" customWidth="1"/>
    <col min="15618" max="15618" width="10" style="114" customWidth="1"/>
    <col min="15619" max="15619" width="14.3333333333333" style="114" customWidth="1"/>
    <col min="15620" max="15620" width="8" style="114" customWidth="1"/>
    <col min="15621" max="15621" width="38" style="114" customWidth="1"/>
    <col min="15622" max="15622" width="48.1666666666667" style="114" customWidth="1"/>
    <col min="15623" max="15872" width="9" style="114"/>
    <col min="15873" max="15873" width="28.1666666666667" style="114" customWidth="1"/>
    <col min="15874" max="15874" width="10" style="114" customWidth="1"/>
    <col min="15875" max="15875" width="14.3333333333333" style="114" customWidth="1"/>
    <col min="15876" max="15876" width="8" style="114" customWidth="1"/>
    <col min="15877" max="15877" width="38" style="114" customWidth="1"/>
    <col min="15878" max="15878" width="48.1666666666667" style="114" customWidth="1"/>
    <col min="15879" max="16128" width="9" style="114"/>
    <col min="16129" max="16129" width="28.1666666666667" style="114" customWidth="1"/>
    <col min="16130" max="16130" width="10" style="114" customWidth="1"/>
    <col min="16131" max="16131" width="14.3333333333333" style="114" customWidth="1"/>
    <col min="16132" max="16132" width="8" style="114" customWidth="1"/>
    <col min="16133" max="16133" width="38" style="114" customWidth="1"/>
    <col min="16134" max="16134" width="48.1666666666667" style="114" customWidth="1"/>
    <col min="16135" max="16384" width="9" style="114"/>
  </cols>
  <sheetData>
    <row r="2" s="110" customFormat="1" ht="75.75" customHeight="1" spans="1:6">
      <c r="A2" s="115"/>
      <c r="B2" s="116" t="s">
        <v>0</v>
      </c>
      <c r="C2" s="116"/>
      <c r="D2" s="116"/>
      <c r="E2" s="116"/>
      <c r="F2" s="116"/>
    </row>
    <row r="3" spans="1:6">
      <c r="A3" s="117"/>
      <c r="B3" s="118"/>
      <c r="E3" s="119"/>
    </row>
    <row r="4" ht="14.25" customHeight="1" spans="1:6">
      <c r="A4" s="120" t="s">
        <v>1</v>
      </c>
      <c r="B4" s="121" t="s">
        <v>2</v>
      </c>
      <c r="C4" s="121"/>
      <c r="D4" s="121"/>
      <c r="E4" s="120" t="s">
        <v>3</v>
      </c>
      <c r="F4" s="122" t="s">
        <v>4</v>
      </c>
    </row>
    <row r="5" ht="14.25" customHeight="1" spans="1:6">
      <c r="A5" s="120" t="s">
        <v>5</v>
      </c>
      <c r="B5" s="121" t="s">
        <v>6</v>
      </c>
      <c r="C5" s="121"/>
      <c r="D5" s="121"/>
      <c r="E5" s="120" t="s">
        <v>7</v>
      </c>
      <c r="F5" s="123">
        <v>46195</v>
      </c>
    </row>
    <row r="6" ht="15.75" customHeight="1" spans="1:6">
      <c r="A6" s="124" t="s">
        <v>8</v>
      </c>
      <c r="B6" s="125" t="s">
        <v>9</v>
      </c>
      <c r="C6" s="126"/>
      <c r="D6" s="127"/>
      <c r="E6" s="120" t="s">
        <v>10</v>
      </c>
      <c r="F6" s="128">
        <v>0.1</v>
      </c>
    </row>
    <row r="7" spans="1:6">
      <c r="A7" s="129"/>
      <c r="B7" s="130"/>
      <c r="E7" s="131"/>
      <c r="F7" s="118"/>
    </row>
    <row r="8" spans="1:6">
      <c r="A8" s="114"/>
    </row>
    <row r="9" spans="1:6">
      <c r="A9" s="132" t="s">
        <v>11</v>
      </c>
    </row>
    <row r="10" s="111" customFormat="1" spans="1:6">
      <c r="A10" s="133" t="s">
        <v>12</v>
      </c>
      <c r="B10" s="134" t="s">
        <v>10</v>
      </c>
      <c r="C10" s="134" t="s">
        <v>13</v>
      </c>
      <c r="D10" s="134" t="s">
        <v>14</v>
      </c>
      <c r="E10" s="134" t="s">
        <v>15</v>
      </c>
      <c r="F10" s="135" t="s">
        <v>16</v>
      </c>
    </row>
    <row r="11" s="112" customFormat="1" ht="26.25" customHeight="1" spans="1:6">
      <c r="A11" s="136">
        <v>46195</v>
      </c>
      <c r="B11" s="137" t="s">
        <v>17</v>
      </c>
      <c r="C11" s="138" t="s">
        <v>18</v>
      </c>
      <c r="D11" s="138" t="s">
        <v>19</v>
      </c>
      <c r="E11" s="139" t="s">
        <v>20</v>
      </c>
      <c r="F11" s="140" t="s">
        <v>21</v>
      </c>
    </row>
    <row r="12" s="112" customFormat="1" ht="21.75" customHeight="1" spans="1:6">
      <c r="A12" s="141"/>
      <c r="B12" s="137"/>
      <c r="C12" s="138"/>
      <c r="D12" s="138"/>
      <c r="E12" s="138"/>
      <c r="F12" s="142"/>
    </row>
    <row r="13" s="112" customFormat="1" ht="19.5" customHeight="1" spans="1:6">
      <c r="A13" s="141"/>
      <c r="B13" s="137"/>
      <c r="C13" s="138"/>
      <c r="D13" s="138"/>
      <c r="E13" s="138"/>
      <c r="F13" s="142"/>
    </row>
    <row r="14" s="112" customFormat="1" ht="21.75" customHeight="1" spans="1:6">
      <c r="A14" s="141"/>
      <c r="B14" s="137"/>
      <c r="C14" s="138"/>
      <c r="D14" s="138"/>
      <c r="E14" s="138"/>
      <c r="F14" s="142"/>
    </row>
    <row r="15" s="112" customFormat="1" ht="19.5" customHeight="1" spans="1:6">
      <c r="A15" s="141"/>
      <c r="B15" s="137"/>
      <c r="C15" s="138"/>
      <c r="D15" s="138"/>
      <c r="E15" s="138"/>
      <c r="F15" s="142"/>
    </row>
    <row r="16" s="112" customFormat="1" ht="21.75" customHeight="1" spans="1:6">
      <c r="A16" s="141"/>
      <c r="B16" s="137"/>
      <c r="C16" s="138"/>
      <c r="D16" s="138"/>
      <c r="E16" s="138"/>
      <c r="F16" s="142"/>
    </row>
    <row r="17" s="112" customFormat="1" ht="19.5" customHeight="1" spans="1:6">
      <c r="A17" s="143"/>
      <c r="B17" s="144"/>
      <c r="C17" s="145"/>
      <c r="D17" s="145"/>
      <c r="E17" s="145"/>
      <c r="F17" s="146"/>
    </row>
  </sheetData>
  <mergeCells count="4">
    <mergeCell ref="B2:F2"/>
    <mergeCell ref="B4:D4"/>
    <mergeCell ref="B5:D5"/>
    <mergeCell ref="B6:D6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zoomScale="143" zoomScaleNormal="143" topLeftCell="A5" workbookViewId="0">
      <selection activeCell="D14" sqref="D14"/>
    </sheetView>
  </sheetViews>
  <sheetFormatPr defaultColWidth="9" defaultRowHeight="13.2" outlineLevelCol="5"/>
  <cols>
    <col min="1" max="1" width="1.33333333333333" style="3" customWidth="1"/>
    <col min="2" max="2" width="11.8333333333333" style="84" customWidth="1"/>
    <col min="3" max="3" width="26.5" style="85" customWidth="1"/>
    <col min="4" max="4" width="17.1666666666667" style="85" customWidth="1"/>
    <col min="5" max="5" width="28.1666666666667" style="85" customWidth="1"/>
    <col min="6" max="6" width="30.6666666666667" style="85" customWidth="1"/>
    <col min="7" max="16384" width="9" style="3"/>
  </cols>
  <sheetData>
    <row r="1" ht="24.6" spans="2:6">
      <c r="B1" s="86"/>
      <c r="D1" s="87" t="s">
        <v>22</v>
      </c>
      <c r="E1" s="88"/>
    </row>
    <row r="2" ht="13.5" customHeight="1" spans="2:6">
      <c r="B2" s="86"/>
      <c r="D2" s="89"/>
      <c r="E2" s="89"/>
    </row>
    <row r="3" spans="2:6">
      <c r="B3" s="90" t="s">
        <v>1</v>
      </c>
      <c r="C3" s="90"/>
      <c r="D3" s="53" t="s">
        <v>2</v>
      </c>
      <c r="E3" s="53"/>
      <c r="F3" s="53"/>
    </row>
    <row r="4" spans="2:6">
      <c r="B4" s="90" t="s">
        <v>5</v>
      </c>
      <c r="C4" s="90"/>
      <c r="D4" s="53" t="s">
        <v>6</v>
      </c>
      <c r="E4" s="53"/>
      <c r="F4" s="53"/>
    </row>
    <row r="5" s="10" customFormat="1" ht="84.75" customHeight="1" spans="2:6">
      <c r="B5" s="91" t="s">
        <v>23</v>
      </c>
      <c r="C5" s="91"/>
      <c r="D5" s="92" t="s">
        <v>24</v>
      </c>
      <c r="E5" s="92"/>
      <c r="F5" s="92"/>
    </row>
    <row r="6" spans="2:6">
      <c r="B6" s="93"/>
      <c r="C6" s="3"/>
      <c r="D6" s="3"/>
      <c r="E6" s="3"/>
      <c r="F6" s="3"/>
    </row>
    <row r="7" s="82" customFormat="1" spans="2:6">
      <c r="B7" s="94"/>
      <c r="C7" s="95"/>
      <c r="D7" s="95"/>
      <c r="E7" s="95"/>
      <c r="F7" s="95"/>
    </row>
    <row r="8" s="83" customFormat="1" ht="21" customHeight="1" spans="2:6">
      <c r="B8" s="96" t="s">
        <v>25</v>
      </c>
      <c r="C8" s="97" t="s">
        <v>26</v>
      </c>
      <c r="D8" s="97" t="s">
        <v>27</v>
      </c>
      <c r="E8" s="98" t="s">
        <v>28</v>
      </c>
      <c r="F8" s="99" t="s">
        <v>29</v>
      </c>
    </row>
    <row r="9" spans="2:6">
      <c r="B9" s="100">
        <v>1</v>
      </c>
      <c r="C9" s="101" t="s">
        <v>30</v>
      </c>
      <c r="D9" s="102" t="s">
        <v>31</v>
      </c>
      <c r="E9" s="103" t="s">
        <v>32</v>
      </c>
      <c r="F9" s="104" t="s">
        <v>33</v>
      </c>
    </row>
    <row r="10" spans="2:6">
      <c r="B10" s="100">
        <v>2</v>
      </c>
      <c r="C10" s="101" t="s">
        <v>34</v>
      </c>
      <c r="D10" s="102" t="s">
        <v>31</v>
      </c>
      <c r="E10" s="103" t="s">
        <v>35</v>
      </c>
      <c r="F10" s="104" t="s">
        <v>36</v>
      </c>
    </row>
    <row r="11" spans="2:6">
      <c r="B11" s="100">
        <v>3</v>
      </c>
      <c r="C11" s="101" t="s">
        <v>37</v>
      </c>
      <c r="D11" s="102" t="s">
        <v>31</v>
      </c>
      <c r="E11" s="103" t="s">
        <v>38</v>
      </c>
      <c r="F11" s="104" t="s">
        <v>39</v>
      </c>
    </row>
    <row r="12" spans="2:6">
      <c r="B12" s="100">
        <v>4</v>
      </c>
      <c r="C12" s="101" t="s">
        <v>40</v>
      </c>
      <c r="D12" s="102" t="s">
        <v>41</v>
      </c>
      <c r="E12" s="103" t="s">
        <v>42</v>
      </c>
      <c r="F12" s="104" t="s">
        <v>43</v>
      </c>
    </row>
    <row r="13" spans="2:6">
      <c r="B13" s="100">
        <v>5</v>
      </c>
      <c r="C13" s="101" t="s">
        <v>44</v>
      </c>
      <c r="D13" s="102" t="s">
        <v>41</v>
      </c>
      <c r="E13" s="103" t="s">
        <v>45</v>
      </c>
      <c r="F13" s="104" t="s">
        <v>46</v>
      </c>
    </row>
    <row r="14" spans="2:6">
      <c r="B14" s="100">
        <v>6</v>
      </c>
      <c r="C14" s="101" t="s">
        <v>47</v>
      </c>
      <c r="D14" s="105" t="s">
        <v>41</v>
      </c>
      <c r="E14" s="105" t="s">
        <v>48</v>
      </c>
      <c r="F14" s="104" t="s">
        <v>49</v>
      </c>
    </row>
    <row r="15" spans="2:6">
      <c r="B15" s="100">
        <v>7</v>
      </c>
      <c r="C15" s="101" t="s">
        <v>50</v>
      </c>
      <c r="D15" s="105" t="s">
        <v>51</v>
      </c>
      <c r="E15" s="105" t="s">
        <v>52</v>
      </c>
      <c r="F15" s="104" t="s">
        <v>53</v>
      </c>
    </row>
    <row r="16" spans="2:6">
      <c r="B16" s="100">
        <v>8</v>
      </c>
      <c r="C16" s="101" t="s">
        <v>54</v>
      </c>
      <c r="D16" s="105" t="s">
        <v>51</v>
      </c>
      <c r="E16" s="105" t="s">
        <v>55</v>
      </c>
      <c r="F16" s="104" t="s">
        <v>56</v>
      </c>
    </row>
    <row r="17" spans="2:6">
      <c r="B17" s="100">
        <v>9</v>
      </c>
      <c r="C17" s="101" t="s">
        <v>57</v>
      </c>
      <c r="D17" s="105" t="s">
        <v>51</v>
      </c>
      <c r="E17" s="105" t="s">
        <v>58</v>
      </c>
      <c r="F17" s="104" t="s">
        <v>53</v>
      </c>
    </row>
    <row r="18" spans="2:6">
      <c r="B18" s="100"/>
      <c r="C18" s="101"/>
      <c r="D18" s="105"/>
      <c r="E18" s="105"/>
      <c r="F18" s="104"/>
    </row>
    <row r="19" spans="2:6">
      <c r="B19" s="100"/>
      <c r="C19" s="101"/>
      <c r="D19" s="105"/>
      <c r="E19" s="105"/>
      <c r="F19" s="104"/>
    </row>
    <row r="20" spans="2:6">
      <c r="B20" s="100"/>
      <c r="C20" s="101"/>
      <c r="D20" s="105"/>
      <c r="E20" s="105"/>
      <c r="F20" s="104"/>
    </row>
    <row r="21" spans="2:6">
      <c r="B21" s="106"/>
      <c r="C21" s="107"/>
      <c r="D21" s="108"/>
      <c r="E21" s="108"/>
      <c r="F21" s="109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Feature 1"/>
    <hyperlink ref="D10" location="Feature2!A1" display="Feature 1"/>
    <hyperlink ref="D11" location="Feature1!A1" display="Feature 1"/>
    <hyperlink ref="D12" location="Feature2!A1" display="Feature 2"/>
    <hyperlink ref="D13" location="Feature2!A1" display="Feature 2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B2" sqref="B2"/>
    </sheetView>
  </sheetViews>
  <sheetFormatPr defaultColWidth="9" defaultRowHeight="13.2" outlineLevelCol="7"/>
  <cols>
    <col min="1" max="1" width="4.5" style="3" customWidth="1"/>
    <col min="2" max="2" width="18.3333333333333" style="3" customWidth="1"/>
    <col min="3" max="3" width="19.3333333333333" style="3" customWidth="1"/>
    <col min="4" max="6" width="11.6666666666667" style="3" customWidth="1"/>
    <col min="7" max="7" width="9" style="3"/>
    <col min="8" max="8" width="35.5" style="3" customWidth="1"/>
    <col min="9" max="9" width="33.1666666666667" style="3" customWidth="1"/>
    <col min="10" max="16384" width="9" style="3"/>
  </cols>
  <sheetData>
    <row r="1" ht="25.5" customHeight="1" spans="1:8">
      <c r="B1" s="48" t="s">
        <v>59</v>
      </c>
      <c r="C1" s="48"/>
      <c r="D1" s="48"/>
      <c r="E1" s="48"/>
      <c r="F1" s="48"/>
      <c r="G1" s="48"/>
      <c r="H1" s="48"/>
    </row>
    <row r="2" ht="14.25" customHeight="1" spans="1:8">
      <c r="A2" s="49"/>
      <c r="B2" s="49"/>
      <c r="C2" s="50"/>
      <c r="D2" s="50"/>
      <c r="E2" s="50"/>
      <c r="F2" s="50"/>
      <c r="G2" s="50"/>
      <c r="H2" s="51"/>
    </row>
    <row r="3" ht="12" customHeight="1" spans="1:8">
      <c r="B3" s="52" t="s">
        <v>1</v>
      </c>
      <c r="C3" s="53" t="s">
        <v>2</v>
      </c>
      <c r="D3" s="53"/>
      <c r="E3" s="54" t="s">
        <v>3</v>
      </c>
      <c r="F3" s="54"/>
      <c r="G3" s="55"/>
      <c r="H3" s="56"/>
    </row>
    <row r="4" ht="12" customHeight="1" spans="1:8">
      <c r="B4" s="52" t="s">
        <v>5</v>
      </c>
      <c r="C4" s="53" t="s">
        <v>6</v>
      </c>
      <c r="D4" s="53"/>
      <c r="E4" s="54" t="s">
        <v>60</v>
      </c>
      <c r="F4" s="54"/>
      <c r="G4" s="55"/>
      <c r="H4" s="56"/>
    </row>
    <row r="5" ht="12" customHeight="1" spans="1:8">
      <c r="B5" s="57" t="s">
        <v>8</v>
      </c>
      <c r="C5" s="53" t="s">
        <v>61</v>
      </c>
      <c r="D5" s="53"/>
      <c r="E5" s="54" t="s">
        <v>7</v>
      </c>
      <c r="F5" s="54"/>
      <c r="G5" s="55"/>
      <c r="H5" s="58">
        <v>46195</v>
      </c>
    </row>
    <row r="6" ht="21.75" customHeight="1" spans="1:8">
      <c r="A6" s="49"/>
      <c r="B6" s="57" t="s">
        <v>62</v>
      </c>
      <c r="C6" s="59" t="s">
        <v>63</v>
      </c>
      <c r="D6" s="59"/>
      <c r="E6" s="59"/>
      <c r="F6" s="59"/>
      <c r="G6" s="59"/>
      <c r="H6" s="59"/>
    </row>
    <row r="7" ht="14.25" customHeight="1" spans="1:8">
      <c r="A7" s="49"/>
      <c r="B7" s="60"/>
      <c r="C7" s="61"/>
      <c r="D7" s="50"/>
      <c r="E7" s="50"/>
      <c r="F7" s="50"/>
      <c r="G7" s="50"/>
      <c r="H7" s="51"/>
    </row>
    <row r="8" spans="1:8">
      <c r="B8" s="60"/>
      <c r="C8" s="61"/>
      <c r="D8" s="50"/>
      <c r="E8" s="50"/>
      <c r="F8" s="50"/>
      <c r="G8" s="50"/>
      <c r="H8" s="51"/>
    </row>
    <row r="10" spans="1:8">
      <c r="A10" s="62"/>
      <c r="B10" s="63" t="s">
        <v>25</v>
      </c>
      <c r="C10" s="64" t="s">
        <v>64</v>
      </c>
      <c r="D10" s="65" t="s">
        <v>65</v>
      </c>
      <c r="E10" s="64" t="s">
        <v>66</v>
      </c>
      <c r="F10" s="64" t="s">
        <v>67</v>
      </c>
      <c r="G10" s="66" t="s">
        <v>68</v>
      </c>
      <c r="H10" s="67" t="s">
        <v>69</v>
      </c>
    </row>
    <row r="11" spans="1:8">
      <c r="A11" s="62"/>
      <c r="B11" s="68">
        <v>1</v>
      </c>
      <c r="C11" s="69" t="s">
        <v>70</v>
      </c>
      <c r="D11" s="70">
        <f>'Feature 1'!B6</f>
        <v>0</v>
      </c>
      <c r="E11" s="70">
        <f>'Feature 1'!C6</f>
        <v>0</v>
      </c>
      <c r="F11" s="70">
        <v>8</v>
      </c>
      <c r="G11" s="70">
        <f>'Feature 1'!E6</f>
        <v>0</v>
      </c>
      <c r="H11" s="71">
        <v>8</v>
      </c>
    </row>
    <row r="12" spans="1:8">
      <c r="A12" s="62"/>
      <c r="B12" s="68">
        <v>2</v>
      </c>
      <c r="C12" s="69" t="s">
        <v>71</v>
      </c>
      <c r="D12" s="70">
        <f>'Feature 2'!B6</f>
        <v>0</v>
      </c>
      <c r="E12" s="70">
        <f>'Feature 2'!C6</f>
        <v>0</v>
      </c>
      <c r="F12" s="70">
        <v>7</v>
      </c>
      <c r="G12" s="70">
        <f>'Feature 2'!E6</f>
        <v>0</v>
      </c>
      <c r="H12" s="70">
        <v>7</v>
      </c>
    </row>
    <row r="13" spans="1:8">
      <c r="A13" s="62"/>
      <c r="B13" s="68">
        <v>3</v>
      </c>
      <c r="C13" s="69" t="s">
        <v>72</v>
      </c>
      <c r="D13" s="70">
        <v>0</v>
      </c>
      <c r="E13" s="70">
        <v>0</v>
      </c>
      <c r="F13" s="70">
        <v>3</v>
      </c>
      <c r="G13" s="72">
        <v>0</v>
      </c>
      <c r="H13" s="71">
        <v>3</v>
      </c>
    </row>
    <row r="14" spans="1:8">
      <c r="A14" s="62"/>
      <c r="B14" s="73"/>
      <c r="C14" s="74" t="s">
        <v>73</v>
      </c>
      <c r="D14" s="75">
        <f>SUM(D9:D13)</f>
        <v>0</v>
      </c>
      <c r="E14" s="75">
        <f>SUM(E9:E13)</f>
        <v>0</v>
      </c>
      <c r="F14" s="75">
        <v>18</v>
      </c>
      <c r="G14" s="75">
        <f>SUM(G9:G13)</f>
        <v>0</v>
      </c>
      <c r="H14" s="76">
        <v>18</v>
      </c>
    </row>
    <row r="15" spans="1:8">
      <c r="B15" s="77"/>
      <c r="D15" s="78"/>
      <c r="E15" s="79"/>
      <c r="F15" s="79"/>
      <c r="G15" s="79"/>
      <c r="H15" s="79"/>
    </row>
    <row r="16" spans="1:8">
      <c r="C16" s="80" t="s">
        <v>74</v>
      </c>
      <c r="E16" s="81">
        <f>(D14+E14)*100/(H14-G14)</f>
        <v>0</v>
      </c>
      <c r="F16" s="3" t="s">
        <v>75</v>
      </c>
      <c r="H16" s="27"/>
    </row>
    <row r="17" spans="3:8">
      <c r="C17" s="80" t="s">
        <v>76</v>
      </c>
      <c r="E17" s="81">
        <f>D14*100/(H14-G14)</f>
        <v>0</v>
      </c>
      <c r="F17" s="3" t="s">
        <v>75</v>
      </c>
      <c r="H17" s="27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tabSelected="1" zoomScale="141" zoomScaleNormal="141" workbookViewId="0">
      <pane ySplit="10" topLeftCell="A11" activePane="bottomLeft" state="frozen"/>
      <selection/>
      <selection pane="bottomLeft" activeCell="C13" sqref="C13"/>
    </sheetView>
  </sheetViews>
  <sheetFormatPr defaultColWidth="9" defaultRowHeight="13.2"/>
  <cols>
    <col min="1" max="1" width="17" style="3" customWidth="1"/>
    <col min="2" max="2" width="34.5" style="3" customWidth="1"/>
    <col min="3" max="3" width="34.1666666666667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666666666667" style="3" customWidth="1"/>
    <col min="17" max="17" width="8.16666666666667" style="4" customWidth="1"/>
    <col min="18" max="18" width="7.66666666666667" style="3" hidden="1" customWidth="1"/>
    <col min="19" max="16384" width="9" style="3"/>
  </cols>
  <sheetData>
    <row r="1" ht="13.95"/>
    <row r="2" s="1" customFormat="1" ht="15" customHeight="1" spans="1:18">
      <c r="A2" s="5" t="s">
        <v>77</v>
      </c>
      <c r="B2" s="6" t="s">
        <v>70</v>
      </c>
      <c r="C2" s="6"/>
      <c r="D2" s="6"/>
      <c r="E2" s="7"/>
      <c r="F2" s="8"/>
      <c r="G2" s="9"/>
      <c r="H2" s="10"/>
      <c r="I2" s="8"/>
      <c r="J2" s="9"/>
      <c r="K2" s="10"/>
      <c r="L2" s="8"/>
      <c r="M2" s="9"/>
      <c r="N2" s="10"/>
      <c r="O2" s="10"/>
      <c r="P2" s="10"/>
      <c r="Q2" s="11"/>
      <c r="R2" s="1" t="s">
        <v>65</v>
      </c>
    </row>
    <row r="3" s="1" customFormat="1" spans="1:18">
      <c r="A3" s="12" t="s">
        <v>78</v>
      </c>
      <c r="B3" s="13" t="s">
        <v>79</v>
      </c>
      <c r="C3" s="13"/>
      <c r="D3" s="13"/>
      <c r="E3" s="14"/>
      <c r="F3" s="8"/>
      <c r="G3" s="9"/>
      <c r="H3" s="10"/>
      <c r="I3" s="8"/>
      <c r="J3" s="9"/>
      <c r="K3" s="10"/>
      <c r="L3" s="8"/>
      <c r="M3" s="9"/>
      <c r="N3" s="10"/>
      <c r="O3" s="10"/>
      <c r="P3" s="10"/>
      <c r="Q3" s="11"/>
      <c r="R3" s="1" t="s">
        <v>66</v>
      </c>
    </row>
    <row r="4" s="1" customFormat="1" ht="18" customHeight="1" spans="1:18">
      <c r="A4" s="12" t="s">
        <v>80</v>
      </c>
      <c r="B4" s="13">
        <v>8</v>
      </c>
      <c r="C4" s="13"/>
      <c r="D4" s="13"/>
      <c r="E4" s="14"/>
      <c r="F4" s="8"/>
      <c r="G4" s="9"/>
      <c r="H4" s="10"/>
      <c r="I4" s="8"/>
      <c r="J4" s="9"/>
      <c r="K4" s="10"/>
      <c r="L4" s="8"/>
      <c r="M4" s="9"/>
      <c r="N4" s="10"/>
      <c r="O4" s="10"/>
      <c r="P4" s="10"/>
      <c r="Q4" s="11"/>
      <c r="R4" s="1" t="s">
        <v>67</v>
      </c>
    </row>
    <row r="5" s="1" customFormat="1" ht="19.5" customHeight="1" spans="1:18">
      <c r="A5" s="15" t="s">
        <v>81</v>
      </c>
      <c r="B5" s="16" t="s">
        <v>65</v>
      </c>
      <c r="C5" s="16" t="s">
        <v>66</v>
      </c>
      <c r="D5" s="16" t="s">
        <v>67</v>
      </c>
      <c r="E5" s="17" t="s">
        <v>68</v>
      </c>
      <c r="F5" s="18"/>
      <c r="G5" s="18"/>
      <c r="H5" s="19"/>
      <c r="I5" s="18"/>
      <c r="J5" s="18"/>
      <c r="K5" s="19"/>
      <c r="L5" s="18"/>
      <c r="M5" s="18"/>
      <c r="N5" s="19"/>
      <c r="O5" s="19"/>
      <c r="P5" s="19"/>
      <c r="Q5" s="20"/>
      <c r="R5" s="1" t="s">
        <v>68</v>
      </c>
    </row>
    <row r="6" s="1" customFormat="1" ht="15" customHeight="1" spans="1:18">
      <c r="A6" s="15" t="s">
        <v>82</v>
      </c>
      <c r="B6" s="21">
        <f>COUNTIF($F10:$F1000,B5)</f>
        <v>0</v>
      </c>
      <c r="C6" s="21">
        <f>COUNTIF($F10:$F1000,C5)</f>
        <v>0</v>
      </c>
      <c r="D6" s="21">
        <v>8</v>
      </c>
      <c r="E6" s="22">
        <f>COUNTIF($F10:$F1000,E5)</f>
        <v>0</v>
      </c>
      <c r="F6" s="23"/>
      <c r="G6" s="23"/>
      <c r="H6" s="19"/>
      <c r="I6" s="23"/>
      <c r="J6" s="23"/>
      <c r="K6" s="19"/>
      <c r="L6" s="23"/>
      <c r="M6" s="23"/>
      <c r="N6" s="19"/>
      <c r="O6" s="19"/>
      <c r="P6" s="19"/>
      <c r="Q6" s="20"/>
    </row>
    <row r="7" s="1" customFormat="1" ht="15" customHeight="1" spans="1:18">
      <c r="A7" s="15" t="s">
        <v>83</v>
      </c>
      <c r="B7" s="21">
        <f>COUNTIF($F10:$F1000,B5)</f>
        <v>0</v>
      </c>
      <c r="C7" s="21">
        <f>COUNTIF($F10:$F1000,C5)</f>
        <v>0</v>
      </c>
      <c r="D7" s="21">
        <v>8</v>
      </c>
      <c r="E7" s="22">
        <f>COUNTIF($F10:$F1000,E5)</f>
        <v>0</v>
      </c>
      <c r="F7" s="23"/>
      <c r="G7" s="23"/>
      <c r="H7" s="19"/>
      <c r="I7" s="23"/>
      <c r="J7" s="23"/>
      <c r="K7" s="19"/>
      <c r="L7" s="23"/>
      <c r="M7" s="23"/>
      <c r="N7" s="19"/>
      <c r="O7" s="19"/>
      <c r="P7" s="19"/>
      <c r="Q7" s="20"/>
    </row>
    <row r="8" s="1" customFormat="1" ht="15" customHeight="1" spans="1:18">
      <c r="A8" s="24" t="s">
        <v>84</v>
      </c>
      <c r="B8" s="25">
        <f>COUNTIF($F10:$F1000,B5)</f>
        <v>0</v>
      </c>
      <c r="C8" s="25">
        <f>COUNTIF($F10:$F1000,C5)</f>
        <v>0</v>
      </c>
      <c r="D8" s="25">
        <v>8</v>
      </c>
      <c r="E8" s="26">
        <f>COUNTIF($F10:$F1000,E5)</f>
        <v>0</v>
      </c>
      <c r="F8" s="23"/>
      <c r="G8" s="23"/>
      <c r="H8" s="19"/>
      <c r="I8" s="23"/>
      <c r="J8" s="23"/>
      <c r="K8" s="19"/>
      <c r="L8" s="23"/>
      <c r="M8" s="23"/>
      <c r="N8" s="19"/>
      <c r="O8" s="19"/>
      <c r="P8" s="19"/>
      <c r="Q8" s="20"/>
    </row>
    <row r="9" s="1" customFormat="1" ht="15" customHeight="1" spans="1:18">
      <c r="A9" s="19"/>
      <c r="B9" s="19"/>
      <c r="C9" s="19"/>
      <c r="D9" s="19"/>
      <c r="E9" s="19"/>
      <c r="F9" s="27"/>
      <c r="G9" s="19"/>
      <c r="H9" s="19"/>
      <c r="I9" s="27"/>
      <c r="J9" s="19"/>
      <c r="K9" s="19"/>
      <c r="L9" s="27"/>
      <c r="M9" s="19"/>
      <c r="N9" s="19"/>
      <c r="O9" s="19"/>
      <c r="P9" s="19"/>
      <c r="Q9" s="20"/>
    </row>
    <row r="10" s="1" customFormat="1" ht="25.5" customHeight="1" spans="1:18">
      <c r="A10" s="28" t="s">
        <v>85</v>
      </c>
      <c r="B10" s="28" t="s">
        <v>86</v>
      </c>
      <c r="C10" s="28" t="s">
        <v>87</v>
      </c>
      <c r="D10" s="28" t="s">
        <v>88</v>
      </c>
      <c r="E10" s="28" t="s">
        <v>89</v>
      </c>
      <c r="F10" s="28" t="s">
        <v>82</v>
      </c>
      <c r="G10" s="28" t="s">
        <v>90</v>
      </c>
      <c r="H10" s="28" t="s">
        <v>91</v>
      </c>
      <c r="I10" s="28" t="s">
        <v>83</v>
      </c>
      <c r="J10" s="28" t="s">
        <v>90</v>
      </c>
      <c r="K10" s="28" t="s">
        <v>91</v>
      </c>
      <c r="L10" s="28" t="s">
        <v>84</v>
      </c>
      <c r="M10" s="28" t="s">
        <v>90</v>
      </c>
      <c r="N10" s="28" t="s">
        <v>91</v>
      </c>
      <c r="O10" s="28" t="s">
        <v>92</v>
      </c>
      <c r="Q10" s="29"/>
    </row>
    <row r="11" s="1" customFormat="1" ht="15.75" customHeight="1" spans="1:18">
      <c r="A11" s="30" t="s">
        <v>30</v>
      </c>
      <c r="B11" s="30"/>
      <c r="C11" s="44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Q11" s="33"/>
    </row>
    <row r="12" s="2" customFormat="1" ht="121" customHeight="1" outlineLevel="1" spans="1:18">
      <c r="A12" s="34" t="s">
        <v>93</v>
      </c>
      <c r="B12" s="35" t="s">
        <v>94</v>
      </c>
      <c r="C12" s="35" t="s">
        <v>95</v>
      </c>
      <c r="D12" s="36" t="s">
        <v>96</v>
      </c>
      <c r="E12" s="36" t="s">
        <v>97</v>
      </c>
      <c r="F12" s="34" t="s">
        <v>67</v>
      </c>
      <c r="G12" s="34"/>
      <c r="H12" s="34"/>
      <c r="I12" s="34" t="s">
        <v>67</v>
      </c>
      <c r="J12" s="34"/>
      <c r="K12" s="34"/>
      <c r="L12" s="34" t="s">
        <v>67</v>
      </c>
      <c r="M12" s="34"/>
      <c r="N12" s="34"/>
      <c r="O12" s="37"/>
      <c r="Q12" s="38"/>
    </row>
    <row r="13" ht="79.2" outlineLevel="1" spans="1:18">
      <c r="A13" s="34" t="s">
        <v>98</v>
      </c>
      <c r="B13" s="34" t="s">
        <v>99</v>
      </c>
      <c r="C13" s="34" t="s">
        <v>100</v>
      </c>
      <c r="D13" s="39" t="s">
        <v>101</v>
      </c>
      <c r="E13" s="39" t="s">
        <v>102</v>
      </c>
      <c r="F13" s="34" t="s">
        <v>67</v>
      </c>
      <c r="G13" s="34"/>
      <c r="H13" s="34"/>
      <c r="I13" s="34" t="s">
        <v>67</v>
      </c>
      <c r="J13" s="34"/>
      <c r="K13" s="34"/>
      <c r="L13" s="34" t="s">
        <v>67</v>
      </c>
      <c r="M13" s="34"/>
      <c r="N13" s="34"/>
      <c r="O13" s="37"/>
      <c r="Q13" s="38"/>
    </row>
    <row r="14" ht="52.8" outlineLevel="1" spans="1:18">
      <c r="A14" s="34" t="s">
        <v>103</v>
      </c>
      <c r="B14" s="34" t="s">
        <v>104</v>
      </c>
      <c r="C14" s="34" t="s">
        <v>105</v>
      </c>
      <c r="D14" s="39" t="s">
        <v>106</v>
      </c>
      <c r="E14" s="39" t="s">
        <v>107</v>
      </c>
      <c r="F14" s="34" t="s">
        <v>67</v>
      </c>
      <c r="G14" s="34"/>
      <c r="H14" s="34"/>
      <c r="I14" s="34" t="s">
        <v>67</v>
      </c>
      <c r="J14" s="34"/>
      <c r="K14" s="34"/>
      <c r="L14" s="34" t="s">
        <v>67</v>
      </c>
      <c r="M14" s="34"/>
      <c r="N14" s="34"/>
      <c r="O14" s="37"/>
      <c r="Q14" s="38"/>
    </row>
    <row r="15" s="1" customFormat="1" ht="15.75" customHeight="1" spans="1:18">
      <c r="A15" s="30" t="s">
        <v>34</v>
      </c>
      <c r="B15" s="40"/>
      <c r="C15" s="45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Q15" s="33"/>
    </row>
    <row r="16" ht="52.8" outlineLevel="1" spans="1:18">
      <c r="A16" s="34" t="s">
        <v>108</v>
      </c>
      <c r="B16" s="34" t="s">
        <v>109</v>
      </c>
      <c r="C16" s="34" t="s">
        <v>110</v>
      </c>
      <c r="D16" s="34" t="s">
        <v>111</v>
      </c>
      <c r="E16" s="34" t="s">
        <v>36</v>
      </c>
      <c r="F16" s="34" t="s">
        <v>67</v>
      </c>
      <c r="G16" s="34"/>
      <c r="H16" s="34"/>
      <c r="I16" s="34" t="s">
        <v>67</v>
      </c>
      <c r="J16" s="34"/>
      <c r="K16" s="34"/>
      <c r="L16" s="34" t="s">
        <v>67</v>
      </c>
      <c r="M16" s="34"/>
      <c r="N16" s="34"/>
      <c r="O16" s="37"/>
      <c r="Q16" s="38"/>
    </row>
    <row r="17" ht="39.6" outlineLevel="1" spans="1:17">
      <c r="A17" s="34" t="s">
        <v>112</v>
      </c>
      <c r="B17" s="34" t="s">
        <v>113</v>
      </c>
      <c r="C17" s="34" t="s">
        <v>114</v>
      </c>
      <c r="D17" s="34" t="s">
        <v>115</v>
      </c>
      <c r="E17" s="34" t="s">
        <v>36</v>
      </c>
      <c r="F17" s="34" t="s">
        <v>67</v>
      </c>
      <c r="G17" s="43"/>
      <c r="H17" s="43"/>
      <c r="I17" s="34" t="s">
        <v>67</v>
      </c>
      <c r="J17" s="43"/>
      <c r="K17" s="43"/>
      <c r="L17" s="34" t="s">
        <v>67</v>
      </c>
      <c r="M17" s="43"/>
      <c r="N17" s="43"/>
      <c r="O17" s="43"/>
    </row>
    <row r="18" s="1" customFormat="1" ht="15.75" customHeight="1" spans="1:17">
      <c r="A18" s="30" t="s">
        <v>116</v>
      </c>
      <c r="B18" s="40" t="s">
        <v>117</v>
      </c>
      <c r="C18" s="45" t="s">
        <v>118</v>
      </c>
      <c r="D18" s="41" t="s">
        <v>119</v>
      </c>
      <c r="E18" s="41" t="s">
        <v>120</v>
      </c>
      <c r="F18" s="41" t="s">
        <v>67</v>
      </c>
      <c r="G18" s="41"/>
      <c r="H18" s="41"/>
      <c r="I18" s="41" t="s">
        <v>67</v>
      </c>
      <c r="J18" s="41"/>
      <c r="K18" s="41"/>
      <c r="L18" s="41" t="s">
        <v>67</v>
      </c>
      <c r="M18" s="41"/>
      <c r="N18" s="41"/>
      <c r="O18" s="42"/>
      <c r="Q18" s="33"/>
    </row>
    <row r="19" outlineLevel="1" spans="1:17">
      <c r="A19" s="34" t="s">
        <v>37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7"/>
      <c r="Q19" s="38"/>
    </row>
    <row r="20" ht="52.8" outlineLevel="1" spans="1:17">
      <c r="A20" s="46" t="s">
        <v>121</v>
      </c>
      <c r="B20" s="46" t="s">
        <v>122</v>
      </c>
      <c r="C20" s="46" t="s">
        <v>123</v>
      </c>
      <c r="D20" s="46" t="s">
        <v>124</v>
      </c>
      <c r="E20" s="46" t="s">
        <v>39</v>
      </c>
      <c r="F20" s="46" t="s">
        <v>67</v>
      </c>
      <c r="G20" s="46"/>
      <c r="H20" s="46"/>
      <c r="I20" s="46" t="s">
        <v>67</v>
      </c>
      <c r="J20" s="46"/>
      <c r="K20" s="46"/>
      <c r="L20" s="46" t="s">
        <v>67</v>
      </c>
      <c r="M20" s="46"/>
      <c r="N20" s="46"/>
      <c r="O20" s="47"/>
      <c r="Q20" s="38"/>
    </row>
    <row r="21" ht="39.6" outlineLevel="1" spans="1:17">
      <c r="A21" s="46" t="s">
        <v>125</v>
      </c>
      <c r="B21" s="46" t="s">
        <v>126</v>
      </c>
      <c r="C21" s="46" t="s">
        <v>127</v>
      </c>
      <c r="D21" s="46" t="s">
        <v>128</v>
      </c>
      <c r="E21" s="46" t="s">
        <v>129</v>
      </c>
      <c r="F21" s="46" t="s">
        <v>67</v>
      </c>
      <c r="G21" s="46"/>
      <c r="H21" s="46"/>
      <c r="I21" s="46" t="s">
        <v>67</v>
      </c>
      <c r="J21" s="46"/>
      <c r="K21" s="46"/>
      <c r="L21" s="46" t="s">
        <v>67</v>
      </c>
      <c r="M21" s="46"/>
      <c r="N21" s="46"/>
      <c r="O21" s="47"/>
      <c r="Q21" s="38"/>
    </row>
  </sheetData>
  <mergeCells count="3">
    <mergeCell ref="B2:E2"/>
    <mergeCell ref="B3:E3"/>
    <mergeCell ref="B4:E4"/>
  </mergeCells>
  <dataValidations count="2">
    <dataValidation type="list" allowBlank="1" showErrorMessage="1" sqref="G9 J9 M9 F12:F21 G2:G3 G22:G149 I12:I21 J2:J3 J22:J149 L12:L21 M2:M3 M22:M149">
      <formula1>$R$2:$R$5</formula1>
    </dataValidation>
    <dataValidation allowBlank="1" showErrorMessage="1" sqref="F10 I10 L10"/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zoomScale="173" zoomScaleNormal="173" workbookViewId="0">
      <pane ySplit="10" topLeftCell="A11" activePane="bottomLeft" state="frozen"/>
      <selection/>
      <selection pane="bottomLeft" activeCell="D12" sqref="D12"/>
    </sheetView>
  </sheetViews>
  <sheetFormatPr defaultColWidth="9" defaultRowHeight="13.2"/>
  <cols>
    <col min="1" max="1" width="17" style="3" customWidth="1"/>
    <col min="2" max="2" width="34.5" style="3" customWidth="1"/>
    <col min="3" max="3" width="33.3333333333333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666666666667" style="3" customWidth="1"/>
    <col min="17" max="17" width="8.16666666666667" style="4" customWidth="1"/>
    <col min="18" max="18" width="7.66666666666667" style="3" hidden="1" customWidth="1"/>
    <col min="19" max="16384" width="9" style="3"/>
  </cols>
  <sheetData>
    <row r="1" ht="13.95"/>
    <row r="2" s="1" customFormat="1" ht="15" customHeight="1" spans="1:18">
      <c r="A2" s="5" t="s">
        <v>77</v>
      </c>
      <c r="B2" s="6" t="s">
        <v>130</v>
      </c>
      <c r="C2" s="6"/>
      <c r="D2" s="6"/>
      <c r="E2" s="7"/>
      <c r="F2" s="8"/>
      <c r="G2" s="9"/>
      <c r="H2" s="10"/>
      <c r="I2" s="8"/>
      <c r="J2" s="9"/>
      <c r="K2" s="10"/>
      <c r="L2" s="8"/>
      <c r="M2" s="9"/>
      <c r="N2" s="10"/>
      <c r="O2" s="10"/>
      <c r="P2" s="10"/>
      <c r="Q2" s="11"/>
      <c r="R2" s="1" t="s">
        <v>65</v>
      </c>
    </row>
    <row r="3" s="1" customFormat="1" spans="1:18">
      <c r="A3" s="12" t="s">
        <v>78</v>
      </c>
      <c r="B3" s="13" t="s">
        <v>131</v>
      </c>
      <c r="C3" s="13"/>
      <c r="D3" s="13"/>
      <c r="E3" s="14"/>
      <c r="F3" s="8"/>
      <c r="G3" s="9"/>
      <c r="H3" s="10"/>
      <c r="I3" s="8"/>
      <c r="J3" s="9"/>
      <c r="K3" s="10"/>
      <c r="L3" s="8"/>
      <c r="M3" s="9"/>
      <c r="N3" s="10"/>
      <c r="O3" s="10"/>
      <c r="P3" s="10"/>
      <c r="Q3" s="11"/>
      <c r="R3" s="1" t="s">
        <v>66</v>
      </c>
    </row>
    <row r="4" s="1" customFormat="1" ht="18" customHeight="1" spans="1:18">
      <c r="A4" s="12" t="s">
        <v>80</v>
      </c>
      <c r="B4" s="13">
        <v>7</v>
      </c>
      <c r="C4" s="13"/>
      <c r="D4" s="13"/>
      <c r="E4" s="14"/>
      <c r="F4" s="8"/>
      <c r="G4" s="9"/>
      <c r="H4" s="10"/>
      <c r="I4" s="8"/>
      <c r="J4" s="9"/>
      <c r="K4" s="10"/>
      <c r="L4" s="8"/>
      <c r="M4" s="9"/>
      <c r="N4" s="10"/>
      <c r="O4" s="10"/>
      <c r="P4" s="10"/>
      <c r="Q4" s="11"/>
      <c r="R4" s="1" t="s">
        <v>67</v>
      </c>
    </row>
    <row r="5" s="1" customFormat="1" ht="19.5" customHeight="1" spans="1:18">
      <c r="A5" s="15" t="s">
        <v>81</v>
      </c>
      <c r="B5" s="16" t="s">
        <v>65</v>
      </c>
      <c r="C5" s="16" t="s">
        <v>66</v>
      </c>
      <c r="D5" s="16" t="s">
        <v>67</v>
      </c>
      <c r="E5" s="17" t="s">
        <v>68</v>
      </c>
      <c r="F5" s="18"/>
      <c r="G5" s="18"/>
      <c r="H5" s="19"/>
      <c r="I5" s="18"/>
      <c r="J5" s="18"/>
      <c r="K5" s="19"/>
      <c r="L5" s="18"/>
      <c r="M5" s="18"/>
      <c r="N5" s="19"/>
      <c r="O5" s="19"/>
      <c r="P5" s="19"/>
      <c r="Q5" s="20"/>
      <c r="R5" s="1" t="s">
        <v>68</v>
      </c>
    </row>
    <row r="6" s="1" customFormat="1" ht="15" customHeight="1" spans="1:18">
      <c r="A6" s="15" t="s">
        <v>82</v>
      </c>
      <c r="B6" s="21">
        <f>COUNTIF($F10:$F996,B5)</f>
        <v>0</v>
      </c>
      <c r="C6" s="21">
        <f>COUNTIF($F10:$F996,C5)</f>
        <v>0</v>
      </c>
      <c r="D6" s="21">
        <v>7</v>
      </c>
      <c r="E6" s="22">
        <f>COUNTIF($F10:$F996,E5)</f>
        <v>0</v>
      </c>
      <c r="F6" s="23"/>
      <c r="G6" s="23"/>
      <c r="H6" s="19"/>
      <c r="I6" s="23"/>
      <c r="J6" s="23"/>
      <c r="K6" s="19"/>
      <c r="L6" s="23"/>
      <c r="M6" s="23"/>
      <c r="N6" s="19"/>
      <c r="O6" s="19"/>
      <c r="P6" s="19"/>
      <c r="Q6" s="20"/>
    </row>
    <row r="7" s="1" customFormat="1" ht="15" customHeight="1" spans="1:18">
      <c r="A7" s="15" t="s">
        <v>83</v>
      </c>
      <c r="B7" s="21">
        <f>COUNTIF($F10:$F996,B5)</f>
        <v>0</v>
      </c>
      <c r="C7" s="21">
        <f>COUNTIF($F10:$F996,C5)</f>
        <v>0</v>
      </c>
      <c r="D7" s="21">
        <v>7</v>
      </c>
      <c r="E7" s="22">
        <f>COUNTIF($F10:$F996,E5)</f>
        <v>0</v>
      </c>
      <c r="F7" s="23"/>
      <c r="G7" s="23"/>
      <c r="H7" s="19"/>
      <c r="I7" s="23"/>
      <c r="J7" s="23"/>
      <c r="K7" s="19"/>
      <c r="L7" s="23"/>
      <c r="M7" s="23"/>
      <c r="N7" s="19"/>
      <c r="O7" s="19"/>
      <c r="P7" s="19"/>
      <c r="Q7" s="20"/>
    </row>
    <row r="8" s="1" customFormat="1" ht="15" customHeight="1" spans="1:18">
      <c r="A8" s="24" t="s">
        <v>84</v>
      </c>
      <c r="B8" s="25">
        <f>COUNTIF($F10:$F996,B5)</f>
        <v>0</v>
      </c>
      <c r="C8" s="25">
        <f>COUNTIF($F10:$F996,C5)</f>
        <v>0</v>
      </c>
      <c r="D8" s="25">
        <v>7</v>
      </c>
      <c r="E8" s="26">
        <f>COUNTIF($F10:$F996,E5)</f>
        <v>0</v>
      </c>
      <c r="F8" s="23"/>
      <c r="G8" s="23"/>
      <c r="H8" s="19"/>
      <c r="I8" s="23"/>
      <c r="J8" s="23"/>
      <c r="K8" s="19"/>
      <c r="L8" s="23"/>
      <c r="M8" s="23"/>
      <c r="N8" s="19"/>
      <c r="O8" s="19"/>
      <c r="P8" s="19"/>
      <c r="Q8" s="20"/>
    </row>
    <row r="9" s="1" customFormat="1" ht="15" customHeight="1" spans="1:18">
      <c r="A9" s="19"/>
      <c r="B9" s="19"/>
      <c r="C9" s="19"/>
      <c r="D9" s="19"/>
      <c r="E9" s="19"/>
      <c r="F9" s="27"/>
      <c r="G9" s="19"/>
      <c r="H9" s="19"/>
      <c r="I9" s="27"/>
      <c r="J9" s="19"/>
      <c r="K9" s="19"/>
      <c r="L9" s="27"/>
      <c r="M9" s="19"/>
      <c r="N9" s="19"/>
      <c r="O9" s="19"/>
      <c r="P9" s="19"/>
      <c r="Q9" s="20"/>
    </row>
    <row r="10" s="1" customFormat="1" ht="25.5" customHeight="1" spans="1:18">
      <c r="A10" s="28" t="s">
        <v>85</v>
      </c>
      <c r="B10" s="28" t="s">
        <v>86</v>
      </c>
      <c r="C10" s="28" t="s">
        <v>87</v>
      </c>
      <c r="D10" s="28" t="s">
        <v>88</v>
      </c>
      <c r="E10" s="28" t="s">
        <v>89</v>
      </c>
      <c r="F10" s="28" t="s">
        <v>82</v>
      </c>
      <c r="G10" s="28" t="s">
        <v>90</v>
      </c>
      <c r="H10" s="28" t="s">
        <v>91</v>
      </c>
      <c r="I10" s="28" t="s">
        <v>83</v>
      </c>
      <c r="J10" s="28" t="s">
        <v>90</v>
      </c>
      <c r="K10" s="28" t="s">
        <v>91</v>
      </c>
      <c r="L10" s="28" t="s">
        <v>84</v>
      </c>
      <c r="M10" s="28" t="s">
        <v>90</v>
      </c>
      <c r="N10" s="28" t="s">
        <v>91</v>
      </c>
      <c r="O10" s="28" t="s">
        <v>92</v>
      </c>
      <c r="Q10" s="29"/>
    </row>
    <row r="11" s="1" customFormat="1" ht="15.75" customHeight="1" spans="1:18">
      <c r="A11" s="30" t="s">
        <v>40</v>
      </c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Q11" s="33"/>
    </row>
    <row r="12" s="2" customFormat="1" ht="121" customHeight="1" outlineLevel="1" spans="1:18">
      <c r="A12" s="34" t="s">
        <v>132</v>
      </c>
      <c r="B12" s="35" t="s">
        <v>133</v>
      </c>
      <c r="C12" s="35" t="s">
        <v>134</v>
      </c>
      <c r="D12" s="36" t="s">
        <v>135</v>
      </c>
      <c r="E12" s="36" t="s">
        <v>136</v>
      </c>
      <c r="F12" s="34" t="s">
        <v>67</v>
      </c>
      <c r="G12" s="34"/>
      <c r="H12" s="34"/>
      <c r="I12" s="34" t="s">
        <v>67</v>
      </c>
      <c r="J12" s="34"/>
      <c r="K12" s="34"/>
      <c r="L12" s="34" t="s">
        <v>67</v>
      </c>
      <c r="M12" s="34"/>
      <c r="N12" s="34"/>
      <c r="O12" s="37"/>
      <c r="Q12" s="38"/>
    </row>
    <row r="13" ht="52.8" outlineLevel="1" spans="1:18">
      <c r="A13" s="34" t="s">
        <v>137</v>
      </c>
      <c r="B13" s="34" t="s">
        <v>138</v>
      </c>
      <c r="C13" s="34" t="s">
        <v>139</v>
      </c>
      <c r="D13" s="39" t="s">
        <v>140</v>
      </c>
      <c r="E13" s="39" t="s">
        <v>141</v>
      </c>
      <c r="F13" s="34" t="s">
        <v>67</v>
      </c>
      <c r="G13" s="34"/>
      <c r="H13" s="34"/>
      <c r="I13" s="34" t="s">
        <v>67</v>
      </c>
      <c r="J13" s="34"/>
      <c r="K13" s="34"/>
      <c r="L13" s="34" t="s">
        <v>67</v>
      </c>
      <c r="M13" s="34"/>
      <c r="N13" s="34"/>
      <c r="O13" s="37"/>
      <c r="Q13" s="38"/>
    </row>
    <row r="14" ht="52.8" outlineLevel="1" spans="1:18">
      <c r="A14" s="34" t="s">
        <v>142</v>
      </c>
      <c r="B14" s="34" t="s">
        <v>143</v>
      </c>
      <c r="C14" s="34" t="s">
        <v>144</v>
      </c>
      <c r="D14" s="39" t="s">
        <v>145</v>
      </c>
      <c r="E14" s="39" t="s">
        <v>146</v>
      </c>
      <c r="F14" s="34" t="s">
        <v>67</v>
      </c>
      <c r="G14" s="34"/>
      <c r="H14" s="34"/>
      <c r="I14" s="34" t="s">
        <v>67</v>
      </c>
      <c r="J14" s="34"/>
      <c r="K14" s="34"/>
      <c r="L14" s="34" t="s">
        <v>67</v>
      </c>
      <c r="M14" s="34"/>
      <c r="N14" s="34"/>
      <c r="O14" s="37"/>
      <c r="Q14" s="38"/>
    </row>
    <row r="15" s="1" customFormat="1" ht="15.75" customHeight="1" spans="1:18">
      <c r="A15" s="30" t="s">
        <v>44</v>
      </c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Q15" s="33"/>
    </row>
    <row r="16" ht="79.2" outlineLevel="1" spans="1:18">
      <c r="A16" s="34" t="s">
        <v>147</v>
      </c>
      <c r="B16" s="34" t="s">
        <v>148</v>
      </c>
      <c r="C16" s="34" t="s">
        <v>149</v>
      </c>
      <c r="D16" s="34" t="s">
        <v>150</v>
      </c>
      <c r="E16" s="34" t="s">
        <v>151</v>
      </c>
      <c r="F16" s="34" t="s">
        <v>67</v>
      </c>
      <c r="G16" s="34"/>
      <c r="H16" s="34"/>
      <c r="I16" s="34" t="s">
        <v>67</v>
      </c>
      <c r="J16" s="34"/>
      <c r="K16" s="34"/>
      <c r="L16" s="34" t="s">
        <v>67</v>
      </c>
      <c r="M16" s="34"/>
      <c r="N16" s="34"/>
      <c r="O16" s="37"/>
      <c r="Q16" s="38"/>
    </row>
    <row r="17" ht="66" outlineLevel="1" spans="1:15">
      <c r="A17" s="34" t="s">
        <v>152</v>
      </c>
      <c r="B17" s="34" t="s">
        <v>153</v>
      </c>
      <c r="C17" s="34" t="s">
        <v>154</v>
      </c>
      <c r="D17" s="34" t="s">
        <v>155</v>
      </c>
      <c r="E17" s="34" t="s">
        <v>156</v>
      </c>
      <c r="F17" s="34" t="s">
        <v>67</v>
      </c>
      <c r="G17" s="43"/>
      <c r="H17" s="43"/>
      <c r="I17" s="34" t="s">
        <v>67</v>
      </c>
      <c r="J17" s="43"/>
      <c r="K17" s="43"/>
      <c r="L17" s="34" t="s">
        <v>67</v>
      </c>
      <c r="M17" s="43"/>
      <c r="N17" s="43"/>
      <c r="O17" s="43"/>
    </row>
    <row r="18" spans="1:15">
      <c r="A18" s="3" t="s">
        <v>47</v>
      </c>
    </row>
    <row r="19" ht="52.8" spans="1:15">
      <c r="A19" s="3" t="s">
        <v>157</v>
      </c>
      <c r="B19" s="3" t="s">
        <v>158</v>
      </c>
      <c r="C19" s="10" t="s">
        <v>159</v>
      </c>
      <c r="D19" s="3" t="s">
        <v>160</v>
      </c>
      <c r="E19" s="3" t="s">
        <v>161</v>
      </c>
      <c r="F19" s="3" t="s">
        <v>67</v>
      </c>
      <c r="I19" s="3" t="s">
        <v>67</v>
      </c>
      <c r="L19" s="3" t="s">
        <v>67</v>
      </c>
    </row>
    <row r="20" ht="79.2" spans="1:15">
      <c r="A20" s="3" t="s">
        <v>162</v>
      </c>
      <c r="B20" s="3" t="s">
        <v>163</v>
      </c>
      <c r="C20" s="10" t="s">
        <v>164</v>
      </c>
      <c r="D20" s="3" t="s">
        <v>165</v>
      </c>
      <c r="E20" s="3" t="s">
        <v>166</v>
      </c>
      <c r="F20" s="3" t="s">
        <v>67</v>
      </c>
      <c r="I20" s="3" t="s">
        <v>67</v>
      </c>
      <c r="L20" s="3" t="s">
        <v>67</v>
      </c>
    </row>
  </sheetData>
  <mergeCells count="3">
    <mergeCell ref="B2:E2"/>
    <mergeCell ref="B3:E3"/>
    <mergeCell ref="B4:E4"/>
  </mergeCells>
  <dataValidations count="2">
    <dataValidation type="list" allowBlank="1" showErrorMessage="1" sqref="G9 J9 M9 F12:F17 G2:G3 G18:G145 I12:I17 J2:J3 J18:J145 L12:L17 M2:M3 M18:M145">
      <formula1>$R$2:$R$5</formula1>
    </dataValidation>
    <dataValidation allowBlank="1" showErrorMessage="1" sqref="F10 I10 L10"/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188" zoomScaleNormal="188" topLeftCell="A7" workbookViewId="0">
      <selection activeCell="B12" sqref="B12"/>
    </sheetView>
  </sheetViews>
  <sheetFormatPr defaultColWidth="9" defaultRowHeight="13.2"/>
  <cols>
    <col min="1" max="1" width="17" style="3" customWidth="1"/>
    <col min="2" max="2" width="34.5" style="3" customWidth="1"/>
    <col min="3" max="3" width="33.3333333333333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666666666667" style="3" customWidth="1"/>
    <col min="17" max="17" width="8.16666666666667" style="4" customWidth="1"/>
    <col min="18" max="18" width="7.66666666666667" style="3" hidden="1" customWidth="1"/>
    <col min="19" max="16384" width="9" style="3"/>
  </cols>
  <sheetData>
    <row r="1" ht="13.95"/>
    <row r="2" s="1" customFormat="1" ht="15" customHeight="1" spans="1:18">
      <c r="A2" s="5" t="s">
        <v>77</v>
      </c>
      <c r="B2" s="6" t="s">
        <v>72</v>
      </c>
      <c r="C2" s="6"/>
      <c r="D2" s="6"/>
      <c r="E2" s="7"/>
      <c r="F2" s="8"/>
      <c r="G2" s="9"/>
      <c r="H2" s="10"/>
      <c r="I2" s="8"/>
      <c r="J2" s="9"/>
      <c r="K2" s="10"/>
      <c r="L2" s="8"/>
      <c r="M2" s="9"/>
      <c r="N2" s="10"/>
      <c r="O2" s="10"/>
      <c r="P2" s="10"/>
      <c r="Q2" s="11"/>
      <c r="R2" s="1" t="s">
        <v>65</v>
      </c>
    </row>
    <row r="3" s="1" customFormat="1" spans="1:18">
      <c r="A3" s="12" t="s">
        <v>78</v>
      </c>
      <c r="B3" s="13" t="s">
        <v>167</v>
      </c>
      <c r="C3" s="13"/>
      <c r="D3" s="13"/>
      <c r="E3" s="14"/>
      <c r="F3" s="8"/>
      <c r="G3" s="9"/>
      <c r="H3" s="10"/>
      <c r="I3" s="8"/>
      <c r="J3" s="9"/>
      <c r="K3" s="10"/>
      <c r="L3" s="8"/>
      <c r="M3" s="9"/>
      <c r="N3" s="10"/>
      <c r="O3" s="10"/>
      <c r="P3" s="10"/>
      <c r="Q3" s="11"/>
      <c r="R3" s="1" t="s">
        <v>66</v>
      </c>
    </row>
    <row r="4" s="1" customFormat="1" ht="18" customHeight="1" spans="1:18">
      <c r="A4" s="12" t="s">
        <v>80</v>
      </c>
      <c r="B4" s="13">
        <v>3</v>
      </c>
      <c r="C4" s="13"/>
      <c r="D4" s="13"/>
      <c r="E4" s="14"/>
      <c r="F4" s="8"/>
      <c r="G4" s="9"/>
      <c r="H4" s="10"/>
      <c r="I4" s="8"/>
      <c r="J4" s="9"/>
      <c r="K4" s="10"/>
      <c r="L4" s="8"/>
      <c r="M4" s="9"/>
      <c r="N4" s="10"/>
      <c r="O4" s="10"/>
      <c r="P4" s="10"/>
      <c r="Q4" s="11"/>
      <c r="R4" s="1" t="s">
        <v>67</v>
      </c>
    </row>
    <row r="5" s="1" customFormat="1" ht="19.5" customHeight="1" spans="1:18">
      <c r="A5" s="15" t="s">
        <v>81</v>
      </c>
      <c r="B5" s="16" t="s">
        <v>65</v>
      </c>
      <c r="C5" s="16" t="s">
        <v>66</v>
      </c>
      <c r="D5" s="16" t="s">
        <v>67</v>
      </c>
      <c r="E5" s="17" t="s">
        <v>68</v>
      </c>
      <c r="F5" s="18"/>
      <c r="G5" s="18"/>
      <c r="H5" s="19"/>
      <c r="I5" s="18"/>
      <c r="J5" s="18"/>
      <c r="K5" s="19"/>
      <c r="L5" s="18"/>
      <c r="M5" s="18"/>
      <c r="N5" s="19"/>
      <c r="O5" s="19"/>
      <c r="P5" s="19"/>
      <c r="Q5" s="20"/>
      <c r="R5" s="1" t="s">
        <v>68</v>
      </c>
    </row>
    <row r="6" s="1" customFormat="1" ht="15" customHeight="1" spans="1:18">
      <c r="A6" s="15" t="s">
        <v>82</v>
      </c>
      <c r="B6" s="21">
        <f>COUNTIF($F10:$F996,B5)</f>
        <v>0</v>
      </c>
      <c r="C6" s="21">
        <f>COUNTIF($F10:$F996,C5)</f>
        <v>0</v>
      </c>
      <c r="D6" s="21">
        <v>3</v>
      </c>
      <c r="E6" s="22">
        <f>COUNTIF($F10:$F996,E5)</f>
        <v>0</v>
      </c>
      <c r="F6" s="23"/>
      <c r="G6" s="23"/>
      <c r="H6" s="19"/>
      <c r="I6" s="23"/>
      <c r="J6" s="23"/>
      <c r="K6" s="19"/>
      <c r="L6" s="23"/>
      <c r="M6" s="23"/>
      <c r="N6" s="19"/>
      <c r="O6" s="19"/>
      <c r="P6" s="19"/>
      <c r="Q6" s="20"/>
    </row>
    <row r="7" s="1" customFormat="1" ht="15" customHeight="1" spans="1:18">
      <c r="A7" s="15" t="s">
        <v>83</v>
      </c>
      <c r="B7" s="21">
        <f>COUNTIF($F10:$F996,B5)</f>
        <v>0</v>
      </c>
      <c r="C7" s="21">
        <f>COUNTIF($F10:$F996,C5)</f>
        <v>0</v>
      </c>
      <c r="D7" s="21">
        <v>3</v>
      </c>
      <c r="E7" s="22">
        <f>COUNTIF($F10:$F996,E5)</f>
        <v>0</v>
      </c>
      <c r="F7" s="23"/>
      <c r="G7" s="23"/>
      <c r="H7" s="19"/>
      <c r="I7" s="23"/>
      <c r="J7" s="23"/>
      <c r="K7" s="19"/>
      <c r="L7" s="23"/>
      <c r="M7" s="23"/>
      <c r="N7" s="19"/>
      <c r="O7" s="19"/>
      <c r="P7" s="19"/>
      <c r="Q7" s="20"/>
    </row>
    <row r="8" s="1" customFormat="1" ht="15" customHeight="1" spans="1:18">
      <c r="A8" s="24" t="s">
        <v>84</v>
      </c>
      <c r="B8" s="25">
        <f>COUNTIF($F10:$F996,B5)</f>
        <v>0</v>
      </c>
      <c r="C8" s="25">
        <f>COUNTIF($F10:$F996,C5)</f>
        <v>0</v>
      </c>
      <c r="D8" s="25">
        <v>3</v>
      </c>
      <c r="E8" s="26">
        <f>COUNTIF($F10:$F996,E5)</f>
        <v>0</v>
      </c>
      <c r="F8" s="23"/>
      <c r="G8" s="23"/>
      <c r="H8" s="19"/>
      <c r="I8" s="23"/>
      <c r="J8" s="23"/>
      <c r="K8" s="19"/>
      <c r="L8" s="23"/>
      <c r="M8" s="23"/>
      <c r="N8" s="19"/>
      <c r="O8" s="19"/>
      <c r="P8" s="19"/>
      <c r="Q8" s="20"/>
    </row>
    <row r="9" s="1" customFormat="1" ht="15" customHeight="1" spans="1:18">
      <c r="A9" s="19"/>
      <c r="B9" s="19"/>
      <c r="C9" s="19"/>
      <c r="D9" s="19"/>
      <c r="E9" s="19"/>
      <c r="F9" s="27"/>
      <c r="G9" s="19"/>
      <c r="H9" s="19"/>
      <c r="I9" s="27"/>
      <c r="J9" s="19"/>
      <c r="K9" s="19"/>
      <c r="L9" s="27"/>
      <c r="M9" s="19"/>
      <c r="N9" s="19"/>
      <c r="O9" s="19"/>
      <c r="P9" s="19"/>
      <c r="Q9" s="20"/>
    </row>
    <row r="10" s="1" customFormat="1" ht="25.5" customHeight="1" spans="1:18">
      <c r="A10" s="28" t="s">
        <v>85</v>
      </c>
      <c r="B10" s="28" t="s">
        <v>86</v>
      </c>
      <c r="C10" s="28" t="s">
        <v>87</v>
      </c>
      <c r="D10" s="28" t="s">
        <v>88</v>
      </c>
      <c r="E10" s="28" t="s">
        <v>89</v>
      </c>
      <c r="F10" s="28" t="s">
        <v>82</v>
      </c>
      <c r="G10" s="28" t="s">
        <v>90</v>
      </c>
      <c r="H10" s="28" t="s">
        <v>91</v>
      </c>
      <c r="I10" s="28" t="s">
        <v>83</v>
      </c>
      <c r="J10" s="28" t="s">
        <v>90</v>
      </c>
      <c r="K10" s="28" t="s">
        <v>91</v>
      </c>
      <c r="L10" s="28" t="s">
        <v>84</v>
      </c>
      <c r="M10" s="28" t="s">
        <v>90</v>
      </c>
      <c r="N10" s="28" t="s">
        <v>91</v>
      </c>
      <c r="O10" s="28" t="s">
        <v>92</v>
      </c>
      <c r="Q10" s="29"/>
    </row>
    <row r="11" s="1" customFormat="1" ht="15.75" customHeight="1" spans="1:18">
      <c r="A11" s="30" t="s">
        <v>50</v>
      </c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Q11" s="33"/>
    </row>
    <row r="12" s="2" customFormat="1" ht="121" customHeight="1" outlineLevel="1" spans="1:18">
      <c r="A12" s="34" t="s">
        <v>168</v>
      </c>
      <c r="B12" s="35" t="s">
        <v>169</v>
      </c>
      <c r="C12" s="35" t="s">
        <v>170</v>
      </c>
      <c r="D12" s="36" t="s">
        <v>171</v>
      </c>
      <c r="E12" s="36" t="s">
        <v>172</v>
      </c>
      <c r="F12" s="34" t="s">
        <v>67</v>
      </c>
      <c r="G12" s="34"/>
      <c r="H12" s="34"/>
      <c r="I12" s="34" t="s">
        <v>67</v>
      </c>
      <c r="J12" s="34"/>
      <c r="K12" s="34"/>
      <c r="L12" s="34" t="s">
        <v>67</v>
      </c>
      <c r="M12" s="34"/>
      <c r="N12" s="34"/>
      <c r="O12" s="37"/>
      <c r="Q12" s="38"/>
    </row>
    <row r="13" outlineLevel="1" spans="1:18">
      <c r="A13" s="34" t="s">
        <v>54</v>
      </c>
      <c r="B13" s="34"/>
      <c r="C13" s="34"/>
      <c r="D13" s="39"/>
      <c r="E13" s="39"/>
      <c r="F13" s="34"/>
      <c r="G13" s="34"/>
      <c r="H13" s="34"/>
      <c r="I13" s="34"/>
      <c r="J13" s="34"/>
      <c r="K13" s="34"/>
      <c r="L13" s="34"/>
      <c r="M13" s="34"/>
      <c r="N13" s="34"/>
      <c r="O13" s="37"/>
      <c r="Q13" s="38"/>
    </row>
    <row r="14" ht="52.8" outlineLevel="1" spans="1:18">
      <c r="A14" s="34" t="s">
        <v>173</v>
      </c>
      <c r="B14" s="34" t="s">
        <v>55</v>
      </c>
      <c r="C14" s="34" t="s">
        <v>174</v>
      </c>
      <c r="D14" s="39" t="s">
        <v>175</v>
      </c>
      <c r="E14" s="39" t="s">
        <v>176</v>
      </c>
      <c r="F14" s="34" t="s">
        <v>67</v>
      </c>
      <c r="G14" s="34"/>
      <c r="H14" s="34"/>
      <c r="I14" s="34" t="s">
        <v>67</v>
      </c>
      <c r="J14" s="34"/>
      <c r="K14" s="34"/>
      <c r="L14" s="34" t="s">
        <v>67</v>
      </c>
      <c r="M14" s="34"/>
      <c r="N14" s="34"/>
      <c r="O14" s="37"/>
      <c r="Q14" s="38"/>
    </row>
    <row r="15" s="1" customFormat="1" ht="15.75" customHeight="1" spans="1:18">
      <c r="A15" s="30" t="s">
        <v>57</v>
      </c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Q15" s="33"/>
    </row>
    <row r="16" ht="52.8" outlineLevel="1" spans="1:18">
      <c r="A16" s="34" t="s">
        <v>177</v>
      </c>
      <c r="B16" s="34" t="s">
        <v>58</v>
      </c>
      <c r="C16" s="34" t="s">
        <v>178</v>
      </c>
      <c r="D16" s="34" t="s">
        <v>179</v>
      </c>
      <c r="E16" s="34" t="s">
        <v>180</v>
      </c>
      <c r="F16" s="34" t="s">
        <v>67</v>
      </c>
      <c r="G16" s="34"/>
      <c r="H16" s="34"/>
      <c r="I16" s="34" t="s">
        <v>67</v>
      </c>
      <c r="J16" s="34"/>
      <c r="K16" s="34"/>
      <c r="L16" s="34" t="s">
        <v>67</v>
      </c>
      <c r="M16" s="34"/>
      <c r="N16" s="34"/>
      <c r="O16" s="37"/>
      <c r="Q16" s="38"/>
    </row>
    <row r="17" outlineLevel="1" spans="1:15">
      <c r="A17" s="34"/>
      <c r="B17" s="34"/>
      <c r="C17" s="34"/>
      <c r="D17" s="34"/>
      <c r="E17" s="34"/>
      <c r="F17" s="34"/>
      <c r="G17" s="43"/>
      <c r="H17" s="43"/>
      <c r="I17" s="34"/>
      <c r="J17" s="43"/>
      <c r="K17" s="43"/>
      <c r="L17" s="34"/>
      <c r="M17" s="43"/>
      <c r="N17" s="43"/>
      <c r="O17" s="43"/>
    </row>
  </sheetData>
  <mergeCells count="3">
    <mergeCell ref="B2:E2"/>
    <mergeCell ref="B3:E3"/>
    <mergeCell ref="B4:E4"/>
  </mergeCells>
  <dataValidations count="2">
    <dataValidation type="list" allowBlank="1" showErrorMessage="1" sqref="G9 J9 M9 F12:F17 G2:G3 G18:G145 I12:I17 J2:J3 J18:J145 L12:L17 M2:M3 M18:M145">
      <formula1>$R$2:$R$5</formula1>
    </dataValidation>
    <dataValidation allowBlank="1" showErrorMessage="1" sqref="F10 I10 L10"/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FSOFT</Company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Test Cases</vt:lpstr>
      <vt:lpstr>Test Statistics</vt:lpstr>
      <vt:lpstr>Feature 1</vt:lpstr>
      <vt:lpstr>Feature 2</vt:lpstr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Le Kien</cp:lastModifiedBy>
  <dcterms:created xsi:type="dcterms:W3CDTF">2020-03-17T17:34:00Z</dcterms:created>
  <cp:lastPrinted>2010-11-12T10:33:00Z</cp:lastPrinted>
  <dcterms:modified xsi:type="dcterms:W3CDTF">2026-06-22T03:28:00Z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38B50EEA781A4D3985FEA78C97F938C6_13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